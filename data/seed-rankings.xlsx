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ankings" sheetId="2" r:id="rId6"/>
    <sheet state="visible" name="Recency" sheetId="3" r:id="rId7"/>
    <sheet state="visible" name="Scoring Key" sheetId="4" r:id="rId8"/>
  </sheets>
  <definedNames/>
  <calcPr/>
</workbook>
</file>

<file path=xl/sharedStrings.xml><?xml version="1.0" encoding="utf-8"?>
<sst xmlns="http://schemas.openxmlformats.org/spreadsheetml/2006/main" count="1597" uniqueCount="988">
  <si>
    <t>Sourcing Dashboard</t>
  </si>
  <si>
    <t>As of April 27, 2026  ·  Companies with 2+ data points only</t>
  </si>
  <si>
    <t>PIPELINE OVERVIEW</t>
  </si>
  <si>
    <t>Companies Tracked</t>
  </si>
  <si>
    <t>Total Candidates</t>
  </si>
  <si>
    <t>⭐ Gold Companies</t>
  </si>
  <si>
    <t>Superstars</t>
  </si>
  <si>
    <t>Yes / Maybe / No</t>
  </si>
  <si>
    <t>SOURCING HEALTH</t>
  </si>
  <si>
    <t>Overdue (&gt;180d)</t>
  </si>
  <si>
    <t>Due Soon (90–180d)</t>
  </si>
  <si>
    <t>Fresh (&lt;90d)</t>
  </si>
  <si>
    <t>Total Companies</t>
  </si>
  <si>
    <t>% Overdue</t>
  </si>
  <si>
    <t>TOP 10 COMPANIES BY SCORE</t>
  </si>
  <si>
    <t>Company</t>
  </si>
  <si>
    <t>Score</t>
  </si>
  <si>
    <t>Superstars ★</t>
  </si>
  <si>
    <t>Yes ✓</t>
  </si>
  <si>
    <t>No ✗</t>
  </si>
  <si>
    <t>MOST OVERDUE — TOP SCORING</t>
  </si>
  <si>
    <t>Top scoring companies not sourced in 180+ days. Re-run script to refresh.</t>
  </si>
  <si>
    <t>Days Since Sourced</t>
  </si>
  <si>
    <t># Candidates</t>
  </si>
  <si>
    <t># Cohorts</t>
  </si>
  <si>
    <t>Icon</t>
  </si>
  <si>
    <t>Abacus.AI</t>
  </si>
  <si>
    <t>1X</t>
  </si>
  <si>
    <t>C3 AI</t>
  </si>
  <si>
    <t>Deepnight (YC W24)</t>
  </si>
  <si>
    <t>Reform</t>
  </si>
  <si>
    <t>Sentry (sentry.io)</t>
  </si>
  <si>
    <t>Aviator</t>
  </si>
  <si>
    <t>Martin (YC S23)</t>
  </si>
  <si>
    <t>Meticulate (YC W24)</t>
  </si>
  <si>
    <t>💡 KPIs in sections 1 &amp; 2 auto-update via formulas. Re-run script to refresh Top 10 and Overdue after adding new data.</t>
  </si>
  <si>
    <t>Company Rankings</t>
  </si>
  <si>
    <t>Rank</t>
  </si>
  <si>
    <t>Total Score</t>
  </si>
  <si>
    <t>Total Votes</t>
  </si>
  <si>
    <t>Superstar ★</t>
  </si>
  <si>
    <t>Maybe ?</t>
  </si>
  <si>
    <t>Palantir Technologies</t>
  </si>
  <si>
    <t>Databricks</t>
  </si>
  <si>
    <t>Glean</t>
  </si>
  <si>
    <t>Meta</t>
  </si>
  <si>
    <t>Scale AI</t>
  </si>
  <si>
    <t>xAI</t>
  </si>
  <si>
    <t>Graphite</t>
  </si>
  <si>
    <t>Applied Intuition</t>
  </si>
  <si>
    <t>Retool</t>
  </si>
  <si>
    <t>OpenAI</t>
  </si>
  <si>
    <t>Watershed</t>
  </si>
  <si>
    <t>Bloomberg</t>
  </si>
  <si>
    <t>Warp</t>
  </si>
  <si>
    <t>Tesla</t>
  </si>
  <si>
    <t>Foundry</t>
  </si>
  <si>
    <t>Ramp</t>
  </si>
  <si>
    <t>Loop</t>
  </si>
  <si>
    <t>Citadel</t>
  </si>
  <si>
    <t>Factory</t>
  </si>
  <si>
    <t>Jane Street</t>
  </si>
  <si>
    <t>Merge</t>
  </si>
  <si>
    <t>Figma</t>
  </si>
  <si>
    <t>Tennr (YC W23)</t>
  </si>
  <si>
    <t>Google</t>
  </si>
  <si>
    <t>OpenEvidence</t>
  </si>
  <si>
    <t>Anthropic</t>
  </si>
  <si>
    <t>Decagon</t>
  </si>
  <si>
    <t>Rox</t>
  </si>
  <si>
    <t>Google DeepMind</t>
  </si>
  <si>
    <t>Harvey</t>
  </si>
  <si>
    <t>Zip</t>
  </si>
  <si>
    <t>Notion</t>
  </si>
  <si>
    <t>SAIL</t>
  </si>
  <si>
    <t>Crusoe</t>
  </si>
  <si>
    <t>Stealth</t>
  </si>
  <si>
    <t>Roblox</t>
  </si>
  <si>
    <t>Citadel Securities</t>
  </si>
  <si>
    <t>BlackRock</t>
  </si>
  <si>
    <t>Coinbase</t>
  </si>
  <si>
    <t>Clay</t>
  </si>
  <si>
    <t>Cognition</t>
  </si>
  <si>
    <t>Codeium</t>
  </si>
  <si>
    <t>Five Rings</t>
  </si>
  <si>
    <t>Snorkel AI</t>
  </si>
  <si>
    <t>Sierra</t>
  </si>
  <si>
    <t>Anysphere</t>
  </si>
  <si>
    <t>Cartesia</t>
  </si>
  <si>
    <t>Instagram</t>
  </si>
  <si>
    <t>Modal</t>
  </si>
  <si>
    <t>Together AI</t>
  </si>
  <si>
    <t>Rogo</t>
  </si>
  <si>
    <t>Chalk</t>
  </si>
  <si>
    <t>InstaLILY AI</t>
  </si>
  <si>
    <t>Cursor</t>
  </si>
  <si>
    <t>Perplexity</t>
  </si>
  <si>
    <t>IMC Trading</t>
  </si>
  <si>
    <t>Moveworks</t>
  </si>
  <si>
    <t>Vanta</t>
  </si>
  <si>
    <t>Whatnot</t>
  </si>
  <si>
    <t>Cohere</t>
  </si>
  <si>
    <t>Benchling</t>
  </si>
  <si>
    <t>Persona</t>
  </si>
  <si>
    <t>CSAIL</t>
  </si>
  <si>
    <t>Waymo</t>
  </si>
  <si>
    <t>Anduril Industries</t>
  </si>
  <si>
    <t>SambaNova Systems</t>
  </si>
  <si>
    <t>Kikoff</t>
  </si>
  <si>
    <t>Valon</t>
  </si>
  <si>
    <t>Distyl AI</t>
  </si>
  <si>
    <t>Langchain</t>
  </si>
  <si>
    <t>Clockwork Systems Inc.</t>
  </si>
  <si>
    <t>ByteDance</t>
  </si>
  <si>
    <t>DoorDash</t>
  </si>
  <si>
    <t>Nooks</t>
  </si>
  <si>
    <t>Brex</t>
  </si>
  <si>
    <t>Brain Co.</t>
  </si>
  <si>
    <t>Fundamental Research Labs</t>
  </si>
  <si>
    <t>Footprint</t>
  </si>
  <si>
    <t>Yale University</t>
  </si>
  <si>
    <t>The University of Texas at Austin</t>
  </si>
  <si>
    <t>McKinsey &amp; Company</t>
  </si>
  <si>
    <t>The Voleon Group</t>
  </si>
  <si>
    <t>Doppel</t>
  </si>
  <si>
    <t>Stealth AI Startup</t>
  </si>
  <si>
    <t>Monaco</t>
  </si>
  <si>
    <t>Reve</t>
  </si>
  <si>
    <t>Adaptive Security</t>
  </si>
  <si>
    <t>Gusto</t>
  </si>
  <si>
    <t>DRW</t>
  </si>
  <si>
    <t>ElevenLabs</t>
  </si>
  <si>
    <t>Patreon</t>
  </si>
  <si>
    <t>Arize AI</t>
  </si>
  <si>
    <t>Pantheon AI</t>
  </si>
  <si>
    <t>Aurora</t>
  </si>
  <si>
    <t>Fireworks AI</t>
  </si>
  <si>
    <t>Inception</t>
  </si>
  <si>
    <t>Verkada</t>
  </si>
  <si>
    <t>Kleiner Perkins</t>
  </si>
  <si>
    <t>Latchbio</t>
  </si>
  <si>
    <t>Parafin</t>
  </si>
  <si>
    <t>Paraform</t>
  </si>
  <si>
    <t>Phonic</t>
  </si>
  <si>
    <t>Cape</t>
  </si>
  <si>
    <t>Cedar</t>
  </si>
  <si>
    <t>Opal Security</t>
  </si>
  <si>
    <t>Millennium</t>
  </si>
  <si>
    <t>Abnormal Security</t>
  </si>
  <si>
    <t>Goodfire</t>
  </si>
  <si>
    <t>AppLovin</t>
  </si>
  <si>
    <t>You.com</t>
  </si>
  <si>
    <t>Beam</t>
  </si>
  <si>
    <t>Squarespace</t>
  </si>
  <si>
    <t>Spur (YC S24)</t>
  </si>
  <si>
    <t>SpaceX</t>
  </si>
  <si>
    <t>Inflection AI</t>
  </si>
  <si>
    <t>Exa</t>
  </si>
  <si>
    <t>Etched</t>
  </si>
  <si>
    <t>LangChain</t>
  </si>
  <si>
    <t>BRM</t>
  </si>
  <si>
    <t>Mercor</t>
  </si>
  <si>
    <t>Flagship</t>
  </si>
  <si>
    <t>Nominal</t>
  </si>
  <si>
    <t>Duolingo</t>
  </si>
  <si>
    <t>Hudson River Trading</t>
  </si>
  <si>
    <t>Fulcrum</t>
  </si>
  <si>
    <t>Neuralink</t>
  </si>
  <si>
    <t>Connectly.ai</t>
  </si>
  <si>
    <t>Coda</t>
  </si>
  <si>
    <t>Magic</t>
  </si>
  <si>
    <t>Bubble</t>
  </si>
  <si>
    <t>EliseAI</t>
  </si>
  <si>
    <t>Browserbase</t>
  </si>
  <si>
    <t>Pika</t>
  </si>
  <si>
    <t>krea.ai</t>
  </si>
  <si>
    <t>Actively AI</t>
  </si>
  <si>
    <t>Windsurf</t>
  </si>
  <si>
    <t>Viam</t>
  </si>
  <si>
    <t>Thinking Machines Lab</t>
  </si>
  <si>
    <t>Tavily</t>
  </si>
  <si>
    <t>Surge AI</t>
  </si>
  <si>
    <t>Stanford University Department of Computer Science</t>
  </si>
  <si>
    <t>Augment Code</t>
  </si>
  <si>
    <t>Baseten</t>
  </si>
  <si>
    <t>Silna</t>
  </si>
  <si>
    <t>Partiful</t>
  </si>
  <si>
    <t>Niantic, Inc.</t>
  </si>
  <si>
    <t>Anyscale</t>
  </si>
  <si>
    <t>Crosby</t>
  </si>
  <si>
    <t>Coval (YC S24)</t>
  </si>
  <si>
    <t>HeyGen</t>
  </si>
  <si>
    <t>Arc Insitute</t>
  </si>
  <si>
    <t>Human Behavior (YC X25)</t>
  </si>
  <si>
    <t>Stardrift (YC S24)</t>
  </si>
  <si>
    <t>Coram AI</t>
  </si>
  <si>
    <t>Imbue</t>
  </si>
  <si>
    <t>Implied</t>
  </si>
  <si>
    <t>Stanford Artificial Intelligence Laboratory (SAIL)</t>
  </si>
  <si>
    <t>Comun</t>
  </si>
  <si>
    <t>Nuro</t>
  </si>
  <si>
    <t>Sigma</t>
  </si>
  <si>
    <t>The McGraw Center for Teaching and Learning, Princeton University</t>
  </si>
  <si>
    <t>Twitter</t>
  </si>
  <si>
    <t>Kapwing</t>
  </si>
  <si>
    <t>GitHub</t>
  </si>
  <si>
    <t>Ello</t>
  </si>
  <si>
    <t>dub</t>
  </si>
  <si>
    <t>Zoox</t>
  </si>
  <si>
    <t>Zeromatter</t>
  </si>
  <si>
    <t>Yext</t>
  </si>
  <si>
    <t>Outtake</t>
  </si>
  <si>
    <t>Adept</t>
  </si>
  <si>
    <t>Broad Institute of MIT and Harvard</t>
  </si>
  <si>
    <t>Pace</t>
  </si>
  <si>
    <t>Vellum</t>
  </si>
  <si>
    <t>Airgoods (YC S23)</t>
  </si>
  <si>
    <t>General Translation</t>
  </si>
  <si>
    <t>Genmo AI</t>
  </si>
  <si>
    <t>Giga</t>
  </si>
  <si>
    <t>Ivo</t>
  </si>
  <si>
    <t>Neo</t>
  </si>
  <si>
    <t>&amp;AI</t>
  </si>
  <si>
    <t>Replit</t>
  </si>
  <si>
    <t>MIT-IBM Watson AI Lab</t>
  </si>
  <si>
    <t>MIT</t>
  </si>
  <si>
    <t>Class Companion</t>
  </si>
  <si>
    <t>ReflectionAI</t>
  </si>
  <si>
    <t>Paradigm</t>
  </si>
  <si>
    <t>Luminai</t>
  </si>
  <si>
    <t>Pylon</t>
  </si>
  <si>
    <t>Backflip</t>
  </si>
  <si>
    <t>Layer Financial</t>
  </si>
  <si>
    <t>Cloudtrucks</t>
  </si>
  <si>
    <t>Linear</t>
  </si>
  <si>
    <t>Berkeley RISE Lab</t>
  </si>
  <si>
    <t>Multiply</t>
  </si>
  <si>
    <t>Resolve AI</t>
  </si>
  <si>
    <t>MosaicML</t>
  </si>
  <si>
    <t>Autoscience Institute</t>
  </si>
  <si>
    <t>Riffusion</t>
  </si>
  <si>
    <t>Codegen</t>
  </si>
  <si>
    <t>Pillar</t>
  </si>
  <si>
    <t>Material Security</t>
  </si>
  <si>
    <t>Unitx</t>
  </si>
  <si>
    <t>Endex</t>
  </si>
  <si>
    <t>fal</t>
  </si>
  <si>
    <t>Gather</t>
  </si>
  <si>
    <t>University of Pennsylvania</t>
  </si>
  <si>
    <t>Forge</t>
  </si>
  <si>
    <t>QuantCo</t>
  </si>
  <si>
    <t>Pivot Robotics (YC W24)</t>
  </si>
  <si>
    <t>WeRide</t>
  </si>
  <si>
    <t>Pomelo</t>
  </si>
  <si>
    <t>Plasma Science and Fusion Center at MIT</t>
  </si>
  <si>
    <t>Figure</t>
  </si>
  <si>
    <t>Everlaw</t>
  </si>
  <si>
    <t>Wing</t>
  </si>
  <si>
    <t>Radar</t>
  </si>
  <si>
    <t>Quanta</t>
  </si>
  <si>
    <t>Sauron</t>
  </si>
  <si>
    <t>Unify</t>
  </si>
  <si>
    <t>Hebbia AI</t>
  </si>
  <si>
    <t>Nash</t>
  </si>
  <si>
    <t>Joon (YC W22)</t>
  </si>
  <si>
    <t>Semgrep</t>
  </si>
  <si>
    <t>Intuit</t>
  </si>
  <si>
    <t>Inductive Bio</t>
  </si>
  <si>
    <t>Spotify</t>
  </si>
  <si>
    <t>Labelbox</t>
  </si>
  <si>
    <t>Remy</t>
  </si>
  <si>
    <t>Percepta</t>
  </si>
  <si>
    <t>Hume AI</t>
  </si>
  <si>
    <t>Hippocratic AI</t>
  </si>
  <si>
    <t>Headway</t>
  </si>
  <si>
    <t>GlossGenius</t>
  </si>
  <si>
    <t>Listen Labs</t>
  </si>
  <si>
    <t>Stealth Mode</t>
  </si>
  <si>
    <t>Superhuman</t>
  </si>
  <si>
    <t>Reflex</t>
  </si>
  <si>
    <t>Gridmatic</t>
  </si>
  <si>
    <t>Pallet</t>
  </si>
  <si>
    <t>New Lantern</t>
  </si>
  <si>
    <t>Gradient</t>
  </si>
  <si>
    <t>Scope Labs</t>
  </si>
  <si>
    <t>The D. E. Shaw Group</t>
  </si>
  <si>
    <t>Goblins</t>
  </si>
  <si>
    <t>Nexa AI</t>
  </si>
  <si>
    <t>Letta</t>
  </si>
  <si>
    <t>Braintrust</t>
  </si>
  <si>
    <t>DevRev</t>
  </si>
  <si>
    <t>Continual</t>
  </si>
  <si>
    <t>Columbia University Department of Computer Science</t>
  </si>
  <si>
    <t>Coactive AI</t>
  </si>
  <si>
    <t>Chartmetric</t>
  </si>
  <si>
    <t>Caldera</t>
  </si>
  <si>
    <t>Big Sur AI</t>
  </si>
  <si>
    <t>Bespoke Labs</t>
  </si>
  <si>
    <t>Axle (YC S22)</t>
  </si>
  <si>
    <t>Auctor</t>
  </si>
  <si>
    <t>Arena</t>
  </si>
  <si>
    <t>Anduril</t>
  </si>
  <si>
    <t>Andera</t>
  </si>
  <si>
    <t>Affil.ai (YC S24)</t>
  </si>
  <si>
    <t>Aaru</t>
  </si>
  <si>
    <t>1stCollab (YC W23)</t>
  </si>
  <si>
    <t>Databricks Mosaic Research</t>
  </si>
  <si>
    <t>yondu</t>
  </si>
  <si>
    <t>Doss</t>
  </si>
  <si>
    <t>Hex</t>
  </si>
  <si>
    <t>Mintlify</t>
  </si>
  <si>
    <t>Stanford University School of Engineering</t>
  </si>
  <si>
    <t>Cerebras Systems</t>
  </si>
  <si>
    <t>Voyage AI</t>
  </si>
  <si>
    <t>Transluce</t>
  </si>
  <si>
    <t>Datavant</t>
  </si>
  <si>
    <t>Princeton University</t>
  </si>
  <si>
    <t>Traversal</t>
  </si>
  <si>
    <t>Keystone AI</t>
  </si>
  <si>
    <t>Dagster Labs</t>
  </si>
  <si>
    <t>Sutter Hill Ventures</t>
  </si>
  <si>
    <t>Chef Robotics</t>
  </si>
  <si>
    <t>Vercel</t>
  </si>
  <si>
    <t>Airgoods</t>
  </si>
  <si>
    <t>Airtable</t>
  </si>
  <si>
    <t>Luma AI</t>
  </si>
  <si>
    <t>Susquehanna International Group</t>
  </si>
  <si>
    <t>Pump.co</t>
  </si>
  <si>
    <t>Sanas</t>
  </si>
  <si>
    <t>University of Waterloo</t>
  </si>
  <si>
    <t>Balyasny Asset Management L.P.</t>
  </si>
  <si>
    <t>Metronome</t>
  </si>
  <si>
    <t>Bedrock Security</t>
  </si>
  <si>
    <t>Affinity.co</t>
  </si>
  <si>
    <t>Robust Intelligence</t>
  </si>
  <si>
    <t>Bluebirds</t>
  </si>
  <si>
    <t>Kempner Institute at Harvard University</t>
  </si>
  <si>
    <t>MIT Department of Physics</t>
  </si>
  <si>
    <t>Skydio</t>
  </si>
  <si>
    <t>MIT Computer Science and Artificial Intelligence Laboratory (CSAIL)</t>
  </si>
  <si>
    <t>Assembled</t>
  </si>
  <si>
    <t>Niantic Spatial, Inc.</t>
  </si>
  <si>
    <t>Klyra</t>
  </si>
  <si>
    <t>LMArena</t>
  </si>
  <si>
    <t>Astrocade</t>
  </si>
  <si>
    <t>MIT Sloan School of Management</t>
  </si>
  <si>
    <t>Stanford University</t>
  </si>
  <si>
    <t>Character.AI</t>
  </si>
  <si>
    <t>Pear VC</t>
  </si>
  <si>
    <t>Delphina</t>
  </si>
  <si>
    <t>GPTZero</t>
  </si>
  <si>
    <t>Latent</t>
  </si>
  <si>
    <t>Inworld AI</t>
  </si>
  <si>
    <t>Athelas</t>
  </si>
  <si>
    <t>Wealthfront</t>
  </si>
  <si>
    <t>Roe AI</t>
  </si>
  <si>
    <t>Rundoo</t>
  </si>
  <si>
    <t>Luzid</t>
  </si>
  <si>
    <t>Clarion</t>
  </si>
  <si>
    <t>Luminary</t>
  </si>
  <si>
    <t>Rutter</t>
  </si>
  <si>
    <t>Augment</t>
  </si>
  <si>
    <t>Fern</t>
  </si>
  <si>
    <t>Salesforce</t>
  </si>
  <si>
    <t>Second Spectrum</t>
  </si>
  <si>
    <t>Observe, Inc.</t>
  </si>
  <si>
    <t>Kinetic</t>
  </si>
  <si>
    <t>Klaviyo</t>
  </si>
  <si>
    <t>Athean</t>
  </si>
  <si>
    <t>Lanai</t>
  </si>
  <si>
    <t>Serval</t>
  </si>
  <si>
    <t>Coast</t>
  </si>
  <si>
    <t>Lazarus AI</t>
  </si>
  <si>
    <t>Sapien</t>
  </si>
  <si>
    <t>Lightfield</t>
  </si>
  <si>
    <t>Lighthouse HQ</t>
  </si>
  <si>
    <t>MIT EECS</t>
  </si>
  <si>
    <t>Schemata</t>
  </si>
  <si>
    <t>Clockwork Systems, Inc.</t>
  </si>
  <si>
    <t>Atomic Machines</t>
  </si>
  <si>
    <t>Liquid AI</t>
  </si>
  <si>
    <t>Lightsource</t>
  </si>
  <si>
    <t>Chicago Trading Company</t>
  </si>
  <si>
    <t>MIT FutureTech</t>
  </si>
  <si>
    <t>Momentic</t>
  </si>
  <si>
    <t>Motimatic</t>
  </si>
  <si>
    <t>Pinecone</t>
  </si>
  <si>
    <t>Essential AI</t>
  </si>
  <si>
    <t>Perplexity AI</t>
  </si>
  <si>
    <t>PermitFlow</t>
  </si>
  <si>
    <t>Peregrine</t>
  </si>
  <si>
    <t>Blockit AI</t>
  </si>
  <si>
    <t>Navan</t>
  </si>
  <si>
    <t>Bluejay (YC X25)</t>
  </si>
  <si>
    <t>Boson AI</t>
  </si>
  <si>
    <t>Newfront</t>
  </si>
  <si>
    <t>Brellium</t>
  </si>
  <si>
    <t>Nexusflow</t>
  </si>
  <si>
    <t>Niantic Inc.</t>
  </si>
  <si>
    <t>Orby AI</t>
  </si>
  <si>
    <t>Canal</t>
  </si>
  <si>
    <t>Normal Computing</t>
  </si>
  <si>
    <t>Notable</t>
  </si>
  <si>
    <t>Numeral</t>
  </si>
  <si>
    <t>Prepared</t>
  </si>
  <si>
    <t>Modern Treasury</t>
  </si>
  <si>
    <t>MIT Lincoln Laboratory</t>
  </si>
  <si>
    <t>Pulley</t>
  </si>
  <si>
    <t>Avela</t>
  </si>
  <si>
    <t>Rhythms</t>
  </si>
  <si>
    <t>MagiCode</t>
  </si>
  <si>
    <t>Margin</t>
  </si>
  <si>
    <t>Rescale</t>
  </si>
  <si>
    <t>Republic of Korea Army</t>
  </si>
  <si>
    <t>Maybern</t>
  </si>
  <si>
    <t>Relace</t>
  </si>
  <si>
    <t>Medallion</t>
  </si>
  <si>
    <t>Bain &amp; Company</t>
  </si>
  <si>
    <t>Reevo</t>
  </si>
  <si>
    <t>Reducto</t>
  </si>
  <si>
    <t>Basis</t>
  </si>
  <si>
    <t>Baton</t>
  </si>
  <si>
    <t>Chainlink Labs</t>
  </si>
  <si>
    <t>Mindy</t>
  </si>
  <si>
    <t>Mineflow (YC S24)</t>
  </si>
  <si>
    <t>Miracle</t>
  </si>
  <si>
    <t>Mistral AI</t>
  </si>
  <si>
    <t>Simile</t>
  </si>
  <si>
    <t>Kindo</t>
  </si>
  <si>
    <t>TwelveLabs</t>
  </si>
  <si>
    <t>Grove AI</t>
  </si>
  <si>
    <t>Datacurve</t>
  </si>
  <si>
    <t>Vigil Labs</t>
  </si>
  <si>
    <t>Farsight AI</t>
  </si>
  <si>
    <t>Google Deepmind</t>
  </si>
  <si>
    <t>Greenboard</t>
  </si>
  <si>
    <t>Usul (YC S24)</t>
  </si>
  <si>
    <t>Uplimit</t>
  </si>
  <si>
    <t>Greylock</t>
  </si>
  <si>
    <t>Guggenheim Partners</t>
  </si>
  <si>
    <t>Ando</t>
  </si>
  <si>
    <t>UC Berkeley Electrical Engineering &amp; Computer Sciences (EECS)</t>
  </si>
  <si>
    <t>Harmonic</t>
  </si>
  <si>
    <t>Harvard Medical School and Massachusetts General Hospital</t>
  </si>
  <si>
    <t>Harvard SEAS Professional Education</t>
  </si>
  <si>
    <t>CreativeMode (YC S24)</t>
  </si>
  <si>
    <t>Haus</t>
  </si>
  <si>
    <t>TikTok</t>
  </si>
  <si>
    <t>Health[at]scale Technologies</t>
  </si>
  <si>
    <t>Vocara</t>
  </si>
  <si>
    <t>DatologyAI</t>
  </si>
  <si>
    <t>David AI</t>
  </si>
  <si>
    <t>WHOOP</t>
  </si>
  <si>
    <t>Distyl</t>
  </si>
  <si>
    <t>Distill</t>
  </si>
  <si>
    <t>A24</t>
  </si>
  <si>
    <t>AMD</t>
  </si>
  <si>
    <t>Abacus.ai</t>
  </si>
  <si>
    <t>Abridge</t>
  </si>
  <si>
    <t>Fathom</t>
  </si>
  <si>
    <t>Acorns</t>
  </si>
  <si>
    <t>Y Combinator</t>
  </si>
  <si>
    <t>Delve</t>
  </si>
  <si>
    <t>Writer</t>
  </si>
  <si>
    <t>Woz (YC W25)</t>
  </si>
  <si>
    <t>Ema Unlimited</t>
  </si>
  <si>
    <t>Generation Lab</t>
  </si>
  <si>
    <t>Genesis Therapeutics</t>
  </si>
  <si>
    <t>Wayfair</t>
  </si>
  <si>
    <t>AguaClara Cornell</t>
  </si>
  <si>
    <t>Cottage</t>
  </si>
  <si>
    <t>Nuvo</t>
  </si>
  <si>
    <t>Hidden Road</t>
  </si>
  <si>
    <t>Conversion</t>
  </si>
  <si>
    <t>THE TUDOR GROUP</t>
  </si>
  <si>
    <t>Sourcegraph</t>
  </si>
  <si>
    <t>Span</t>
  </si>
  <si>
    <t>Cornell Ann S. Bowers College of Computing and Information Science</t>
  </si>
  <si>
    <t>January</t>
  </si>
  <si>
    <t>Sphinx</t>
  </si>
  <si>
    <t>Doowii, Inc</t>
  </si>
  <si>
    <t>Sonia (YC W24)</t>
  </si>
  <si>
    <t>InQuery (YC W24)</t>
  </si>
  <si>
    <t>Arcol</t>
  </si>
  <si>
    <t>Arrowstreet Capital, Limited Partnership</t>
  </si>
  <si>
    <t>Startup</t>
  </si>
  <si>
    <t>JPMorgan Chase &amp; Co.</t>
  </si>
  <si>
    <t>Stanford University School of Medicine</t>
  </si>
  <si>
    <t>Anything</t>
  </si>
  <si>
    <t>Endeavor</t>
  </si>
  <si>
    <t>Corridor</t>
  </si>
  <si>
    <t>Tennr</t>
  </si>
  <si>
    <t>Tenzo AI</t>
  </si>
  <si>
    <t>Sonauto (YC W24)</t>
  </si>
  <si>
    <t>Slash</t>
  </si>
  <si>
    <t>Ab Initio Software</t>
  </si>
  <si>
    <t>Bunkerhill Health</t>
  </si>
  <si>
    <t>Okareo</t>
  </si>
  <si>
    <t>Stanford Institute for Human-Centered Artificial Intelligence (HAI)</t>
  </si>
  <si>
    <t>Armstrong Robotics</t>
  </si>
  <si>
    <t>PhysicsX</t>
  </si>
  <si>
    <t>Skio</t>
  </si>
  <si>
    <t>Onyx AI</t>
  </si>
  <si>
    <t>X</t>
  </si>
  <si>
    <t>Bytedance</t>
  </si>
  <si>
    <t>Spring Health</t>
  </si>
  <si>
    <t>X, The Moonshot Factory</t>
  </si>
  <si>
    <t>Penciled (YC W24)</t>
  </si>
  <si>
    <t>Zenlytic</t>
  </si>
  <si>
    <t>XP Health</t>
  </si>
  <si>
    <t>Accrete AI</t>
  </si>
  <si>
    <t>Boston Consulting Group (BCG)</t>
  </si>
  <si>
    <t>Assort Health</t>
  </si>
  <si>
    <t>Dynamo AI</t>
  </si>
  <si>
    <t>Scribe</t>
  </si>
  <si>
    <t>Otter.ai</t>
  </si>
  <si>
    <t>Broadridge</t>
  </si>
  <si>
    <t>Bridgewater Associates</t>
  </si>
  <si>
    <t>Palo Alto Networks</t>
  </si>
  <si>
    <t>Princeton Computer Science</t>
  </si>
  <si>
    <t>Beacons</t>
  </si>
  <si>
    <t>Temporal Technologies</t>
  </si>
  <si>
    <t>Skild AI</t>
  </si>
  <si>
    <t>Truveta</t>
  </si>
  <si>
    <t>Trucksmarter</t>
  </si>
  <si>
    <t>Tecton</t>
  </si>
  <si>
    <t>Azuli Studios</t>
  </si>
  <si>
    <t>Replo</t>
  </si>
  <si>
    <t>Axiom</t>
  </si>
  <si>
    <t>Science</t>
  </si>
  <si>
    <t>Tome</t>
  </si>
  <si>
    <t>Aven</t>
  </si>
  <si>
    <t>Rilla</t>
  </si>
  <si>
    <t>Ridgeline</t>
  </si>
  <si>
    <t>Threads</t>
  </si>
  <si>
    <t>Enable Medicine</t>
  </si>
  <si>
    <t>Typeface</t>
  </si>
  <si>
    <t>Redwood Research</t>
  </si>
  <si>
    <t>Unitedmasters</t>
  </si>
  <si>
    <t>Recidiviz</t>
  </si>
  <si>
    <t>Superblocks</t>
  </si>
  <si>
    <t>University of Illinois Urbana-Champaign</t>
  </si>
  <si>
    <t>Suno</t>
  </si>
  <si>
    <t>Student Technology Collaborative</t>
  </si>
  <si>
    <t>Attentive</t>
  </si>
  <si>
    <t>Vals AI</t>
  </si>
  <si>
    <t>Ai2</t>
  </si>
  <si>
    <t>Structify</t>
  </si>
  <si>
    <t>Profound</t>
  </si>
  <si>
    <t>Statsig</t>
  </si>
  <si>
    <t>Thread AI</t>
  </si>
  <si>
    <t>Prime Video &amp; Amazon MGM Studios</t>
  </si>
  <si>
    <t>Arcus</t>
  </si>
  <si>
    <t>Simple AI</t>
  </si>
  <si>
    <t>PayPal</t>
  </si>
  <si>
    <t>Ekho</t>
  </si>
  <si>
    <t>Flair AI</t>
  </si>
  <si>
    <t>Carta</t>
  </si>
  <si>
    <t>Flipturn</t>
  </si>
  <si>
    <t>NASA</t>
  </si>
  <si>
    <t>Inkeep</t>
  </si>
  <si>
    <t>Hayden AI</t>
  </si>
  <si>
    <t>Harvard John A. Paulson School of Engineering and Applied Sciences</t>
  </si>
  <si>
    <t>Gecko Robotics</t>
  </si>
  <si>
    <t>Jamsocket</t>
  </si>
  <si>
    <t>Cold Spring Harbor Laboratory</t>
  </si>
  <si>
    <t>Decodable</t>
  </si>
  <si>
    <t>Middesk</t>
  </si>
  <si>
    <t>Judgment Labs</t>
  </si>
  <si>
    <t>Genius Sports</t>
  </si>
  <si>
    <t>Halliday</t>
  </si>
  <si>
    <t>Kalshi</t>
  </si>
  <si>
    <t>Cointracker</t>
  </si>
  <si>
    <t>Keywords AI (YC W24)</t>
  </si>
  <si>
    <t>Gridspace</t>
  </si>
  <si>
    <t>Lila Sciences</t>
  </si>
  <si>
    <t>Lucid Motors</t>
  </si>
  <si>
    <t>DALI Lab</t>
  </si>
  <si>
    <t>Lumos</t>
  </si>
  <si>
    <t>Lucid Software</t>
  </si>
  <si>
    <t>Flex</t>
  </si>
  <si>
    <t>Harper (YC W25)</t>
  </si>
  <si>
    <t>NewCo</t>
  </si>
  <si>
    <t>Nowadays (YC S23)</t>
  </si>
  <si>
    <t>Novig</t>
  </si>
  <si>
    <t>Captions</t>
  </si>
  <si>
    <t>Cornell App Development (AppDev)</t>
  </si>
  <si>
    <t>Zipline</t>
  </si>
  <si>
    <t>Kensho Technologies</t>
  </si>
  <si>
    <t>Nimble</t>
  </si>
  <si>
    <t>Midjourney</t>
  </si>
  <si>
    <t>Orb</t>
  </si>
  <si>
    <t>Microsoft AI</t>
  </si>
  <si>
    <t>Wayve</t>
  </si>
  <si>
    <t>UIUC</t>
  </si>
  <si>
    <t>Andreessen Horowitz</t>
  </si>
  <si>
    <t>ReevoAI</t>
  </si>
  <si>
    <t>Sigma Computing</t>
  </si>
  <si>
    <t>Tamarind Bio</t>
  </si>
  <si>
    <t>AfterQuery</t>
  </si>
  <si>
    <t>Moment</t>
  </si>
  <si>
    <t>Riot Games</t>
  </si>
  <si>
    <t>Cloudflare</t>
  </si>
  <si>
    <t>Clipboard Health</t>
  </si>
  <si>
    <t>Old Mission</t>
  </si>
  <si>
    <t>Samsara</t>
  </si>
  <si>
    <t>Eve</t>
  </si>
  <si>
    <t>Cleanlab</t>
  </si>
  <si>
    <t>Moloco</t>
  </si>
  <si>
    <t>Radix Trading LLC</t>
  </si>
  <si>
    <t>Block</t>
  </si>
  <si>
    <t>Stealth Startup</t>
  </si>
  <si>
    <t>World Labs</t>
  </si>
  <si>
    <t>Nexus</t>
  </si>
  <si>
    <t>Berkeley Artificial Intelligence Research</t>
  </si>
  <si>
    <t>Harvard University</t>
  </si>
  <si>
    <t>Aquatic Capital Management</t>
  </si>
  <si>
    <t>Amperity</t>
  </si>
  <si>
    <t>Human Delta</t>
  </si>
  <si>
    <t>Grepr</t>
  </si>
  <si>
    <t>ServiceNow</t>
  </si>
  <si>
    <t>Cockroach Labs</t>
  </si>
  <si>
    <t>Launchpad (UC Berkeley)</t>
  </si>
  <si>
    <t>Shaped</t>
  </si>
  <si>
    <t>Shopify</t>
  </si>
  <si>
    <t>Lacework</t>
  </si>
  <si>
    <t>Atlas</t>
  </si>
  <si>
    <t>Vannevar Labs</t>
  </si>
  <si>
    <t>Column Tax</t>
  </si>
  <si>
    <t>Greenlite</t>
  </si>
  <si>
    <t>StubHub</t>
  </si>
  <si>
    <t>Comprehensive</t>
  </si>
  <si>
    <t>Granica</t>
  </si>
  <si>
    <t>Consul (YC W24)</t>
  </si>
  <si>
    <t>Clever Inc.</t>
  </si>
  <si>
    <t>Coupang</t>
  </si>
  <si>
    <t>Heron Data</t>
  </si>
  <si>
    <t>Tavrn</t>
  </si>
  <si>
    <t>Grammarly</t>
  </si>
  <si>
    <t>Hebbia</t>
  </si>
  <si>
    <t>University of California, Berkeley</t>
  </si>
  <si>
    <t>Column</t>
  </si>
  <si>
    <t>Codes Health</t>
  </si>
  <si>
    <t>Stream</t>
  </si>
  <si>
    <t>SafetyKit</t>
  </si>
  <si>
    <t>Color</t>
  </si>
  <si>
    <t>Aptos</t>
  </si>
  <si>
    <t>The Walt Disney Company</t>
  </si>
  <si>
    <t>Turnkey</t>
  </si>
  <si>
    <t>JPMorganChase</t>
  </si>
  <si>
    <t>Emissary</t>
  </si>
  <si>
    <t>Convex</t>
  </si>
  <si>
    <t>HappyRobot</t>
  </si>
  <si>
    <t>Twitch</t>
  </si>
  <si>
    <t>Something New</t>
  </si>
  <si>
    <t>Armada</t>
  </si>
  <si>
    <t>Cohere Health</t>
  </si>
  <si>
    <t>Amazon Web Services</t>
  </si>
  <si>
    <t>SoFi</t>
  </si>
  <si>
    <t>Two Sigma</t>
  </si>
  <si>
    <t>Cortex</t>
  </si>
  <si>
    <t>Tower Research Capital</t>
  </si>
  <si>
    <t>Uber</t>
  </si>
  <si>
    <t>Illumio</t>
  </si>
  <si>
    <t>Tinder</t>
  </si>
  <si>
    <t>Uniphore</t>
  </si>
  <si>
    <t>Instabase</t>
  </si>
  <si>
    <t>Trunk</t>
  </si>
  <si>
    <t>D. E. Shaw Research</t>
  </si>
  <si>
    <t>Voxel</t>
  </si>
  <si>
    <t>Auger</t>
  </si>
  <si>
    <t>Bandana</t>
  </si>
  <si>
    <t>Determined AI</t>
  </si>
  <si>
    <t>Blacksmith</t>
  </si>
  <si>
    <t>Found</t>
  </si>
  <si>
    <t>Yale School of Medicine</t>
  </si>
  <si>
    <t>Cash App</t>
  </si>
  <si>
    <t>Founder</t>
  </si>
  <si>
    <t>Delve (YC W24)</t>
  </si>
  <si>
    <t>Freeform</t>
  </si>
  <si>
    <t>Census</t>
  </si>
  <si>
    <t>Deloitte</t>
  </si>
  <si>
    <t>Addepar</t>
  </si>
  <si>
    <t>Cervo AI</t>
  </si>
  <si>
    <t>WindBorne Systems</t>
  </si>
  <si>
    <t>Mobi.AI</t>
  </si>
  <si>
    <t>Wells Fargo</t>
  </si>
  <si>
    <t>Q2</t>
  </si>
  <si>
    <t>Lucidic AI</t>
  </si>
  <si>
    <t>Periodic Labs</t>
  </si>
  <si>
    <t>Zagaran, Inc.</t>
  </si>
  <si>
    <t>ZeroEntropy</t>
  </si>
  <si>
    <t>Candid Health</t>
  </si>
  <si>
    <t>Eightfold</t>
  </si>
  <si>
    <t>Discord</t>
  </si>
  <si>
    <t>eBay</t>
  </si>
  <si>
    <t>Optima</t>
  </si>
  <si>
    <t>beehiiv</t>
  </si>
  <si>
    <t>Optum</t>
  </si>
  <si>
    <t>Develop for Good</t>
  </si>
  <si>
    <t>Oscar Health</t>
  </si>
  <si>
    <t>Pave</t>
  </si>
  <si>
    <t>Zoom</t>
  </si>
  <si>
    <t>Padlet</t>
  </si>
  <si>
    <t>Zocdoc</t>
  </si>
  <si>
    <t>Eikon Therapeutics</t>
  </si>
  <si>
    <t>Box</t>
  </si>
  <si>
    <t>Carnegie Mellon University</t>
  </si>
  <si>
    <t>Carnegie Mellon University Robotics Institute</t>
  </si>
  <si>
    <t>Quora</t>
  </si>
  <si>
    <t>Bank of America Merrill Lynch</t>
  </si>
  <si>
    <t>Read AI</t>
  </si>
  <si>
    <t>Ripple</t>
  </si>
  <si>
    <t>Mach9</t>
  </si>
  <si>
    <t>Charta Health</t>
  </si>
  <si>
    <t>MITRE</t>
  </si>
  <si>
    <t>Rice University</t>
  </si>
  <si>
    <t>Cisco Meraki</t>
  </si>
  <si>
    <t>MIT Media Lab</t>
  </si>
  <si>
    <t>METR</t>
  </si>
  <si>
    <t>Vultron</t>
  </si>
  <si>
    <t>Georgia Tech Research Institute</t>
  </si>
  <si>
    <t>Angle Health</t>
  </si>
  <si>
    <t>Aurora Solar</t>
  </si>
  <si>
    <t>RoboForce</t>
  </si>
  <si>
    <t>Lyft</t>
  </si>
  <si>
    <t>Auradine</t>
  </si>
  <si>
    <t>Rowspace</t>
  </si>
  <si>
    <t>Verizon</t>
  </si>
  <si>
    <t>Avoca</t>
  </si>
  <si>
    <t>Andromeda Surgical</t>
  </si>
  <si>
    <t>Waabi</t>
  </si>
  <si>
    <t>BNY</t>
  </si>
  <si>
    <t>Drivewealth</t>
  </si>
  <si>
    <t>Mercury</t>
  </si>
  <si>
    <t>Medtronic</t>
  </si>
  <si>
    <t>Medra</t>
  </si>
  <si>
    <t>Balbix</t>
  </si>
  <si>
    <t>Walmart Global Tech</t>
  </si>
  <si>
    <t>Decart</t>
  </si>
  <si>
    <t>MathWorks</t>
  </si>
  <si>
    <t>Chime</t>
  </si>
  <si>
    <t>Harvard Medical School</t>
  </si>
  <si>
    <t>The Daily Princetonian</t>
  </si>
  <si>
    <t>Verily Life Sciences</t>
  </si>
  <si>
    <t>WeRide.ai</t>
  </si>
  <si>
    <t>Affirm</t>
  </si>
  <si>
    <t>Goldman Sachs</t>
  </si>
  <si>
    <t>Vector Institute</t>
  </si>
  <si>
    <t>Garner Health</t>
  </si>
  <si>
    <t>Virtu Financial</t>
  </si>
  <si>
    <t>Crescendo Health</t>
  </si>
  <si>
    <t>Geotab</t>
  </si>
  <si>
    <t>Amazon Fulfillment Technologies &amp; Robotics</t>
  </si>
  <si>
    <t>Yugabyte</t>
  </si>
  <si>
    <t>OKX</t>
  </si>
  <si>
    <t>Doordash</t>
  </si>
  <si>
    <t>Quadric</t>
  </si>
  <si>
    <t>Asana</t>
  </si>
  <si>
    <t>Berkeley Lab</t>
  </si>
  <si>
    <t>Jump Trading LLC</t>
  </si>
  <si>
    <t>Kastle (YC S24)</t>
  </si>
  <si>
    <t>Silimate (YC S23)</t>
  </si>
  <si>
    <t>Pavilion</t>
  </si>
  <si>
    <t>Cocoon</t>
  </si>
  <si>
    <t>Latitude AI</t>
  </si>
  <si>
    <t>Circle</t>
  </si>
  <si>
    <t>Point72</t>
  </si>
  <si>
    <t>NASA - National Aeronautics and Space Administration</t>
  </si>
  <si>
    <t>ScaleAI</t>
  </si>
  <si>
    <t>Carnegie Mellon University School of Computer Science</t>
  </si>
  <si>
    <t>NASA Jet Propulsion Laboratory</t>
  </si>
  <si>
    <t>Saildrone Inc</t>
  </si>
  <si>
    <t>MATS Research</t>
  </si>
  <si>
    <t>Rokt</t>
  </si>
  <si>
    <t>Arta Finance</t>
  </si>
  <si>
    <t>Mechanical Orchard</t>
  </si>
  <si>
    <t>ColorStack</t>
  </si>
  <si>
    <t>Oracle</t>
  </si>
  <si>
    <t>Cornell University</t>
  </si>
  <si>
    <t>Cornell Engineering</t>
  </si>
  <si>
    <t>Susquehanna International Group, LLP (SIG)</t>
  </si>
  <si>
    <t>Pony.ai</t>
  </si>
  <si>
    <t>Category Labs</t>
  </si>
  <si>
    <t>Probook</t>
  </si>
  <si>
    <t>Tempus AI</t>
  </si>
  <si>
    <t>Epic</t>
  </si>
  <si>
    <t>Akuna Capital</t>
  </si>
  <si>
    <t>Hive</t>
  </si>
  <si>
    <t>Okta</t>
  </si>
  <si>
    <t>Verily</t>
  </si>
  <si>
    <t>Pure Storage</t>
  </si>
  <si>
    <t>Duke University</t>
  </si>
  <si>
    <t>Jump Trading</t>
  </si>
  <si>
    <t>IBM</t>
  </si>
  <si>
    <t>Mixpanel</t>
  </si>
  <si>
    <t>-</t>
  </si>
  <si>
    <t>Cubist Systematic Strategies</t>
  </si>
  <si>
    <t>Five Rings LLC</t>
  </si>
  <si>
    <t>Georgia Institute of Technology</t>
  </si>
  <si>
    <t>ZipRecruiter</t>
  </si>
  <si>
    <t>Cambridge Mobile Telematics</t>
  </si>
  <si>
    <t>Ibm</t>
  </si>
  <si>
    <t>Qualcomm</t>
  </si>
  <si>
    <t>Ropes</t>
  </si>
  <si>
    <t>Handshake</t>
  </si>
  <si>
    <t>Instacart</t>
  </si>
  <si>
    <t>Uniswap Labs</t>
  </si>
  <si>
    <t>Multiply Labs</t>
  </si>
  <si>
    <t>Gem</t>
  </si>
  <si>
    <t>Rivian</t>
  </si>
  <si>
    <t>Morgan Stanley</t>
  </si>
  <si>
    <t>Rubrik</t>
  </si>
  <si>
    <t>IXL Learning</t>
  </si>
  <si>
    <t>Atlassian</t>
  </si>
  <si>
    <t>Sentry</t>
  </si>
  <si>
    <t>Nextdoor</t>
  </si>
  <si>
    <t>Alchemy</t>
  </si>
  <si>
    <t>SingleStore</t>
  </si>
  <si>
    <t>Slack</t>
  </si>
  <si>
    <t>Columbia University</t>
  </si>
  <si>
    <t>Bloomberg LP</t>
  </si>
  <si>
    <t>Jump Trading Group</t>
  </si>
  <si>
    <t>Adobe</t>
  </si>
  <si>
    <t>Reddit, Inc.</t>
  </si>
  <si>
    <t>Rubrik, Inc.</t>
  </si>
  <si>
    <t>Flatiron Health</t>
  </si>
  <si>
    <t>Cisco</t>
  </si>
  <si>
    <t>Veeva Systems</t>
  </si>
  <si>
    <t>HubSpot</t>
  </si>
  <si>
    <t>Splunk</t>
  </si>
  <si>
    <t>Square</t>
  </si>
  <si>
    <t>InterSystems</t>
  </si>
  <si>
    <t>Arc Institute</t>
  </si>
  <si>
    <t>Brown University</t>
  </si>
  <si>
    <t>YouTube</t>
  </si>
  <si>
    <t>Software Engineer</t>
  </si>
  <si>
    <t>Massachusetts Institute of Technology</t>
  </si>
  <si>
    <t>Dropbox</t>
  </si>
  <si>
    <t>Snowflake</t>
  </si>
  <si>
    <t>NVIDIA</t>
  </si>
  <si>
    <t>MongoDB</t>
  </si>
  <si>
    <t>Hightouch</t>
  </si>
  <si>
    <t>LinkedIn</t>
  </si>
  <si>
    <t>Nvidia</t>
  </si>
  <si>
    <t>Airbnb</t>
  </si>
  <si>
    <t>Plaid</t>
  </si>
  <si>
    <t>Netflix</t>
  </si>
  <si>
    <t>Amazon</t>
  </si>
  <si>
    <t>AWS</t>
  </si>
  <si>
    <t>Optiver</t>
  </si>
  <si>
    <t>Capital One</t>
  </si>
  <si>
    <t>Cruise</t>
  </si>
  <si>
    <t>Datadog</t>
  </si>
  <si>
    <t>Pinterest</t>
  </si>
  <si>
    <t>Strava</t>
  </si>
  <si>
    <t>Snap Inc.</t>
  </si>
  <si>
    <t>Stripe</t>
  </si>
  <si>
    <t>Microsoft</t>
  </si>
  <si>
    <t>Apple</t>
  </si>
  <si>
    <t>Amazon Web Services (AWS)</t>
  </si>
  <si>
    <t>Rippling</t>
  </si>
  <si>
    <t>Robinhood</t>
  </si>
  <si>
    <t>Facebook</t>
  </si>
  <si>
    <t>Re-Sourcing Tracker — Oldest First</t>
  </si>
  <si>
    <t>Median Sourcing Date</t>
  </si>
  <si>
    <t>Days Ago</t>
  </si>
  <si>
    <t>Apr 17, 2025</t>
  </si>
  <si>
    <t>May 16, 2025</t>
  </si>
  <si>
    <t>Aug 01, 2025</t>
  </si>
  <si>
    <t>Re-Targeted</t>
  </si>
  <si>
    <t>Aug 08, 2025</t>
  </si>
  <si>
    <t>Aug 12, 2025</t>
  </si>
  <si>
    <t>Aug 21, 2025</t>
  </si>
  <si>
    <t>Aug 22, 2025</t>
  </si>
  <si>
    <t>Aug 27, 2025</t>
  </si>
  <si>
    <t>Sep 09, 2025</t>
  </si>
  <si>
    <t>Sep 15, 2025</t>
  </si>
  <si>
    <t>Sep 17, 2025</t>
  </si>
  <si>
    <t>Sep 18, 2025</t>
  </si>
  <si>
    <t>Sep 20, 2025</t>
  </si>
  <si>
    <t>Sep 23, 2025</t>
  </si>
  <si>
    <t>Arrowstreet</t>
  </si>
  <si>
    <t>Sep 27, 2025</t>
  </si>
  <si>
    <t>Vatic Labs</t>
  </si>
  <si>
    <t>Sep 28, 2025</t>
  </si>
  <si>
    <t>Hudston River Trading</t>
  </si>
  <si>
    <t>Oct 04, 2025</t>
  </si>
  <si>
    <t>Oct 09, 2025</t>
  </si>
  <si>
    <t>Oct 12, 2025</t>
  </si>
  <si>
    <t>Oct 14, 2025</t>
  </si>
  <si>
    <t>Oct 19, 2025</t>
  </si>
  <si>
    <t>Oct 26, 2025</t>
  </si>
  <si>
    <t>Oct 27, 2025</t>
  </si>
  <si>
    <t>Oct 28, 2025</t>
  </si>
  <si>
    <t>Nov 02, 2025</t>
  </si>
  <si>
    <t>Nov 06, 2025</t>
  </si>
  <si>
    <t>Nov 14, 2025</t>
  </si>
  <si>
    <t>Nov 19, 2025</t>
  </si>
  <si>
    <t>Nov 21, 2025</t>
  </si>
  <si>
    <t>Nov 22, 2025</t>
  </si>
  <si>
    <t>Nov 23, 2025</t>
  </si>
  <si>
    <t>Nov 24, 2025</t>
  </si>
  <si>
    <t>Nov 29, 2025</t>
  </si>
  <si>
    <t>Dec 04, 2025</t>
  </si>
  <si>
    <t>Dec 05, 2025</t>
  </si>
  <si>
    <t>Dec 09, 2025</t>
  </si>
  <si>
    <t>Dec 13, 2025</t>
  </si>
  <si>
    <t>Dec 14, 2025</t>
  </si>
  <si>
    <t>Dec 17, 2025</t>
  </si>
  <si>
    <t>Dec 19, 2025</t>
  </si>
  <si>
    <t>Dec 24, 2025</t>
  </si>
  <si>
    <t>Dec 27, 2025</t>
  </si>
  <si>
    <t>Jan 06, 2026</t>
  </si>
  <si>
    <t>Jan 30, 2026</t>
  </si>
  <si>
    <t>Jan 31, 2026</t>
  </si>
  <si>
    <t>Feb 05, 2026</t>
  </si>
  <si>
    <t>Feb 06, 2026</t>
  </si>
  <si>
    <t>Feb 07, 2026</t>
  </si>
  <si>
    <t>Feb 09, 2026</t>
  </si>
  <si>
    <t>Feb 10, 2026</t>
  </si>
  <si>
    <t>Feb 11, 2026</t>
  </si>
  <si>
    <t>Feb 12, 2026</t>
  </si>
  <si>
    <t>Feb 13, 2026</t>
  </si>
  <si>
    <t>Feb 14, 2026</t>
  </si>
  <si>
    <t>Feb 15, 2026</t>
  </si>
  <si>
    <t>Feb 17, 2026</t>
  </si>
  <si>
    <t>Feb 19, 2026</t>
  </si>
  <si>
    <t>Feb 20, 2026</t>
  </si>
  <si>
    <t>Feb 21, 2026</t>
  </si>
  <si>
    <t>Feb 22, 2026</t>
  </si>
  <si>
    <t>Feb 23, 2026</t>
  </si>
  <si>
    <t>Feb 25, 2026</t>
  </si>
  <si>
    <t>Feb 26, 2026</t>
  </si>
  <si>
    <t>Mar 03, 2026</t>
  </si>
  <si>
    <t>Mar 06, 2026</t>
  </si>
  <si>
    <t>Mar 10, 2026</t>
  </si>
  <si>
    <t>Mar 12, 2026</t>
  </si>
  <si>
    <t>Mar 14, 2026</t>
  </si>
  <si>
    <t>Mar 15, 2026</t>
  </si>
  <si>
    <t>Mar 16, 2026</t>
  </si>
  <si>
    <t>Mar 18, 2026</t>
  </si>
  <si>
    <t>Mar 19, 2026</t>
  </si>
  <si>
    <t>Mar 20, 2026</t>
  </si>
  <si>
    <t>Mar 21, 2026</t>
  </si>
  <si>
    <t>Mar 22, 2026</t>
  </si>
  <si>
    <t>Mar 23, 2026</t>
  </si>
  <si>
    <t>Mar 24, 2026</t>
  </si>
  <si>
    <t>Mar 26, 2026</t>
  </si>
  <si>
    <t>Mar 27, 2026</t>
  </si>
  <si>
    <t>Mar 30, 2026</t>
  </si>
  <si>
    <t>Mar 31, 2026</t>
  </si>
  <si>
    <t>Apr 03, 2026</t>
  </si>
  <si>
    <t>Apr 02, 2026</t>
  </si>
  <si>
    <t>Apr 04, 2026</t>
  </si>
  <si>
    <t>Apr 07, 2026</t>
  </si>
  <si>
    <t>Apr 09, 2026</t>
  </si>
  <si>
    <t>Apr 10, 2026</t>
  </si>
  <si>
    <t>Apr 11, 2026</t>
  </si>
  <si>
    <t>Apr 13, 2026</t>
  </si>
  <si>
    <t>Apr 14, 2026</t>
  </si>
  <si>
    <t>Apr 15, 2026</t>
  </si>
  <si>
    <t>Apr 16, 2026</t>
  </si>
  <si>
    <t>Apr 17, 2026</t>
  </si>
  <si>
    <t>Apr 19, 2026</t>
  </si>
  <si>
    <t>Apr 18, 2026</t>
  </si>
  <si>
    <t>Apr 20, 2026</t>
  </si>
  <si>
    <t>Apr 21, 2026</t>
  </si>
  <si>
    <t>Apr 22, 2026</t>
  </si>
  <si>
    <t>Apr 23, 2026</t>
  </si>
  <si>
    <t>Apr 24, 2026</t>
  </si>
  <si>
    <t>Apr 25, 2026</t>
  </si>
  <si>
    <t>Apr 26, 2026</t>
  </si>
  <si>
    <t>Scoring System</t>
  </si>
  <si>
    <t>Calibration</t>
  </si>
  <si>
    <t>Points</t>
  </si>
  <si>
    <t>+5</t>
  </si>
  <si>
    <t>+2</t>
  </si>
  <si>
    <t>+1</t>
  </si>
  <si>
    <t>-1</t>
  </si>
  <si>
    <t>Color Legend</t>
  </si>
  <si>
    <t>Criteria</t>
  </si>
  <si>
    <t>Gold</t>
  </si>
  <si>
    <t>&gt; 2 Superstars</t>
  </si>
  <si>
    <t>Green</t>
  </si>
  <si>
    <t>Score ≥ 50 (no Gold)</t>
  </si>
  <si>
    <t>Blue</t>
  </si>
  <si>
    <t>Score ≥ 10 (no Gold/Green)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</si>
</sst>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1">
    <font>
      <sz val="11.0"/>
      <color theme="1"/>
      <name val="Calibri"/>
      <scheme val="minor"/>
    </font>
    <font>
      <b/>
      <sz val="18.0"/>
      <color rgb="FFFFFFFF"/>
      <name val="Arial"/>
    </font>
    <font/>
    <font>
      <sz val="11.0"/>
      <color theme="1"/>
      <name val="Calibri"/>
    </font>
    <font>
      <i/>
      <sz val="10.0"/>
      <color rgb="FFFFFFFF"/>
      <name val="Arial"/>
    </font>
    <font>
      <b/>
      <sz val="11.0"/>
      <color rgb="FFFFFFFF"/>
      <name val="Arial"/>
    </font>
    <font>
      <b/>
      <sz val="9.0"/>
      <color rgb="FF1F3864"/>
      <name val="Arial"/>
    </font>
    <font>
      <b/>
      <sz val="16.0"/>
      <color rgb="FF1F3864"/>
      <name val="Arial"/>
    </font>
    <font>
      <b/>
      <sz val="16.0"/>
      <color rgb="FF000000"/>
      <name val="Arial"/>
    </font>
    <font>
      <b/>
      <sz val="12.0"/>
      <color rgb="FF1F3864"/>
      <name val="Arial"/>
    </font>
    <font>
      <b/>
      <sz val="16.0"/>
      <color rgb="FFCC0000"/>
      <name val="Arial"/>
    </font>
    <font>
      <b/>
      <sz val="16.0"/>
      <color rgb="FF996600"/>
      <name val="Arial"/>
    </font>
    <font>
      <b/>
      <sz val="16.0"/>
      <color rgb="FF006600"/>
      <name val="Arial"/>
    </font>
    <font>
      <b/>
      <sz val="10.0"/>
      <color rgb="FF000000"/>
      <name val="Arial"/>
    </font>
    <font>
      <sz val="10.0"/>
      <color rgb="FF000000"/>
      <name val="Arial"/>
    </font>
    <font>
      <i/>
      <sz val="9.0"/>
      <color rgb="FF595959"/>
      <name val="Arial"/>
    </font>
    <font>
      <sz val="11.0"/>
      <color rgb="FF000000"/>
      <name val="Arial"/>
    </font>
    <font>
      <b/>
      <sz val="14.0"/>
      <color rgb="FFFFFFFF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EA8"/>
        <bgColor rgb="FF2E5EA8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D7D7"/>
        <bgColor rgb="FFFFD7D7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EEF3FB"/>
        <bgColor rgb="FFEEF3FB"/>
      </patternFill>
    </fill>
    <fill>
      <patternFill patternType="solid">
        <fgColor rgb="FFFCE4D6"/>
        <bgColor rgb="FFFCE4D6"/>
      </patternFill>
    </fill>
    <fill>
      <patternFill patternType="solid">
        <fgColor rgb="FFFFD700"/>
        <bgColor rgb="FFFFD700"/>
      </patternFill>
    </fill>
    <fill>
      <patternFill patternType="solid">
        <fgColor rgb="FF90EE90"/>
        <bgColor rgb="FF90EE90"/>
      </patternFill>
    </fill>
    <fill>
      <patternFill patternType="solid">
        <fgColor rgb="FFF2F2F2"/>
        <bgColor rgb="FFF2F2F2"/>
      </patternFill>
    </fill>
    <fill>
      <patternFill patternType="solid">
        <fgColor rgb="FFADD8E6"/>
        <bgColor rgb="FFADD8E6"/>
      </patternFill>
    </fill>
  </fills>
  <borders count="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4" fillId="4" fontId="6" numFmtId="0" xfId="0" applyAlignment="1" applyBorder="1" applyFill="1" applyFont="1">
      <alignment horizontal="center" shrinkToFit="0" vertical="center" wrapText="0"/>
    </xf>
    <xf borderId="4" fillId="5" fontId="7" numFmtId="0" xfId="0" applyAlignment="1" applyBorder="1" applyFill="1" applyFont="1">
      <alignment horizontal="center" shrinkToFit="0" vertical="center" wrapText="0"/>
    </xf>
    <xf borderId="4" fillId="6" fontId="8" numFmtId="0" xfId="0" applyAlignment="1" applyBorder="1" applyFill="1" applyFont="1">
      <alignment horizontal="center" shrinkToFit="0" vertical="center" wrapText="0"/>
    </xf>
    <xf borderId="4" fillId="5" fontId="9" numFmtId="0" xfId="0" applyAlignment="1" applyBorder="1" applyFont="1">
      <alignment horizontal="center" shrinkToFit="0" vertical="center" wrapText="0"/>
    </xf>
    <xf borderId="4" fillId="7" fontId="10" numFmtId="0" xfId="0" applyAlignment="1" applyBorder="1" applyFill="1" applyFont="1">
      <alignment horizontal="center" shrinkToFit="0" vertical="center" wrapText="0"/>
    </xf>
    <xf borderId="4" fillId="8" fontId="11" numFmtId="0" xfId="0" applyAlignment="1" applyBorder="1" applyFill="1" applyFont="1">
      <alignment horizontal="center" shrinkToFit="0" vertical="center" wrapText="0"/>
    </xf>
    <xf borderId="4" fillId="9" fontId="12" numFmtId="0" xfId="0" applyAlignment="1" applyBorder="1" applyFill="1" applyFont="1">
      <alignment horizontal="center" shrinkToFit="0" vertical="center" wrapText="0"/>
    </xf>
    <xf borderId="4" fillId="7" fontId="10" numFmtId="9" xfId="0" applyAlignment="1" applyBorder="1" applyFont="1" applyNumberFormat="1">
      <alignment horizontal="center" shrinkToFit="0" vertical="center" wrapText="0"/>
    </xf>
    <xf borderId="4" fillId="4" fontId="6" numFmtId="0" xfId="0" applyAlignment="1" applyBorder="1" applyFont="1">
      <alignment horizontal="left" shrinkToFit="0" vertical="center" wrapText="0"/>
    </xf>
    <xf borderId="4" fillId="6" fontId="13" numFmtId="0" xfId="0" applyAlignment="1" applyBorder="1" applyFont="1">
      <alignment horizontal="left" shrinkToFit="0" vertical="center" wrapText="0"/>
    </xf>
    <xf borderId="4" fillId="6" fontId="13" numFmtId="0" xfId="0" applyAlignment="1" applyBorder="1" applyFont="1">
      <alignment horizontal="center" shrinkToFit="0" vertical="center" wrapText="0"/>
    </xf>
    <xf borderId="4" fillId="4" fontId="14" numFmtId="0" xfId="0" applyAlignment="1" applyBorder="1" applyFont="1">
      <alignment horizontal="left" shrinkToFit="0" vertical="center" wrapText="0"/>
    </xf>
    <xf borderId="4" fillId="4" fontId="14" numFmtId="0" xfId="0" applyAlignment="1" applyBorder="1" applyFont="1">
      <alignment horizontal="center" shrinkToFit="0" vertical="center" wrapText="0"/>
    </xf>
    <xf borderId="4" fillId="5" fontId="14" numFmtId="0" xfId="0" applyAlignment="1" applyBorder="1" applyFont="1">
      <alignment horizontal="left" shrinkToFit="0" vertical="center" wrapText="0"/>
    </xf>
    <xf borderId="4" fillId="5" fontId="14" numFmtId="0" xfId="0" applyAlignment="1" applyBorder="1" applyFont="1">
      <alignment horizontal="center" shrinkToFit="0" vertical="center" wrapText="0"/>
    </xf>
    <xf borderId="1" fillId="10" fontId="15" numFmtId="0" xfId="0" applyAlignment="1" applyBorder="1" applyFill="1" applyFont="1">
      <alignment horizontal="left" shrinkToFit="0" vertical="center" wrapText="1"/>
    </xf>
    <xf borderId="4" fillId="7" fontId="16" numFmtId="0" xfId="0" applyAlignment="1" applyBorder="1" applyFont="1">
      <alignment horizontal="left" shrinkToFit="0" vertical="center" wrapText="0"/>
    </xf>
    <xf borderId="4" fillId="7" fontId="16" numFmtId="0" xfId="0" applyAlignment="1" applyBorder="1" applyFont="1">
      <alignment horizontal="center" shrinkToFit="0" vertical="center" wrapText="0"/>
    </xf>
    <xf borderId="4" fillId="11" fontId="16" numFmtId="0" xfId="0" applyAlignment="1" applyBorder="1" applyFill="1" applyFont="1">
      <alignment horizontal="left" shrinkToFit="0" vertical="center" wrapText="0"/>
    </xf>
    <xf borderId="4" fillId="11" fontId="16" numFmtId="0" xfId="0" applyAlignment="1" applyBorder="1" applyFont="1">
      <alignment horizontal="center" shrinkToFit="0" vertical="center" wrapText="0"/>
    </xf>
    <xf borderId="4" fillId="8" fontId="16" numFmtId="0" xfId="0" applyAlignment="1" applyBorder="1" applyFont="1">
      <alignment horizontal="left" shrinkToFit="0" vertical="center" wrapText="0"/>
    </xf>
    <xf borderId="4" fillId="8" fontId="16" numFmtId="0" xfId="0" applyAlignment="1" applyBorder="1" applyFont="1">
      <alignment horizontal="center" shrinkToFit="0" vertical="center" wrapText="0"/>
    </xf>
    <xf borderId="1" fillId="2" fontId="17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center" shrinkToFit="0" vertical="center" wrapText="0"/>
    </xf>
    <xf borderId="4" fillId="12" fontId="16" numFmtId="0" xfId="0" applyAlignment="1" applyBorder="1" applyFill="1" applyFont="1">
      <alignment horizontal="center" shrinkToFit="0" vertical="bottom" wrapText="0"/>
    </xf>
    <xf borderId="4" fillId="12" fontId="16" numFmtId="0" xfId="0" applyAlignment="1" applyBorder="1" applyFont="1">
      <alignment horizontal="left" shrinkToFit="0" vertical="bottom" wrapText="0"/>
    </xf>
    <xf borderId="4" fillId="13" fontId="16" numFmtId="0" xfId="0" applyAlignment="1" applyBorder="1" applyFill="1" applyFont="1">
      <alignment horizontal="center" shrinkToFit="0" vertical="bottom" wrapText="0"/>
    </xf>
    <xf borderId="4" fillId="13" fontId="16" numFmtId="0" xfId="0" applyAlignment="1" applyBorder="1" applyFont="1">
      <alignment horizontal="left" shrinkToFit="0" vertical="bottom" wrapText="0"/>
    </xf>
    <xf borderId="4" fillId="14" fontId="14" numFmtId="0" xfId="0" applyAlignment="1" applyBorder="1" applyFill="1" applyFont="1">
      <alignment horizontal="left" shrinkToFit="0" vertical="center" wrapText="0"/>
    </xf>
    <xf borderId="4" fillId="15" fontId="16" numFmtId="0" xfId="0" applyAlignment="1" applyBorder="1" applyFill="1" applyFont="1">
      <alignment horizontal="center" shrinkToFit="0" vertical="bottom" wrapText="0"/>
    </xf>
    <xf borderId="4" fillId="15" fontId="16" numFmtId="0" xfId="0" applyAlignment="1" applyBorder="1" applyFont="1">
      <alignment horizontal="left" shrinkToFit="0" vertical="bottom" wrapText="0"/>
    </xf>
    <xf borderId="4" fillId="0" fontId="16" numFmtId="0" xfId="0" applyAlignment="1" applyBorder="1" applyFont="1">
      <alignment horizontal="center" shrinkToFit="0" vertical="bottom" wrapText="0"/>
    </xf>
    <xf borderId="4" fillId="0" fontId="16" numFmtId="0" xfId="0" applyAlignment="1" applyBorder="1" applyFont="1">
      <alignment horizontal="left" shrinkToFit="0" vertical="bottom" wrapText="0"/>
    </xf>
    <xf borderId="0" fillId="0" fontId="16" numFmtId="0" xfId="0" applyAlignment="1" applyFont="1">
      <alignment horizontal="left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center" wrapText="0"/>
    </xf>
    <xf borderId="5" fillId="0" fontId="2" numFmtId="0" xfId="0" applyBorder="1" applyFont="1"/>
    <xf borderId="6" fillId="0" fontId="3" numFmtId="164" xfId="0" applyAlignment="1" applyBorder="1" applyFont="1" applyNumberFormat="1">
      <alignment horizontal="center" shrinkToFit="0" vertical="bottom" wrapText="0"/>
    </xf>
    <xf borderId="4" fillId="0" fontId="14" numFmtId="0" xfId="0" applyAlignment="1" applyBorder="1" applyFont="1">
      <alignment horizontal="center" shrinkToFit="0" vertical="center" wrapText="0"/>
    </xf>
    <xf borderId="4" fillId="0" fontId="14" numFmtId="0" xfId="0" applyAlignment="1" applyBorder="1" applyFont="1">
      <alignment horizontal="left" shrinkToFit="0" vertical="center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7" fillId="12" fontId="20" numFmtId="0" xfId="0" applyAlignment="1" applyBorder="1" applyFont="1">
      <alignment shrinkToFit="0" vertical="bottom" wrapText="0"/>
    </xf>
    <xf borderId="7" fillId="9" fontId="20" numFmtId="0" xfId="0" applyAlignment="1" applyBorder="1" applyFont="1">
      <alignment shrinkToFit="0" vertical="bottom" wrapText="0"/>
    </xf>
    <xf borderId="7" fillId="4" fontId="20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.0"/>
    <col customWidth="1" min="2" max="2" width="28.0"/>
    <col customWidth="1" min="3" max="3" width="23.0"/>
    <col customWidth="1" min="4" max="4" width="17.43"/>
    <col customWidth="1" min="5" max="5" width="17.86"/>
    <col customWidth="1" min="6" max="6" width="23.0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4"/>
      <c r="B4" s="6" t="s">
        <v>2</v>
      </c>
      <c r="C4" s="2"/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4"/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7.5" customHeight="1">
      <c r="A6" s="4"/>
      <c r="B6" s="8">
        <f>COUNTA(Rankings!B3:B5000)</f>
        <v>832</v>
      </c>
      <c r="C6" s="8">
        <f>SUMIF(Rankings!B3:B5000,"&lt;&gt;",Rankings!D3:D5000)</f>
        <v>10910</v>
      </c>
      <c r="D6" s="9">
        <f>COUNTIF(Rankings!E3:E5000,"&gt;"&amp;2)</f>
        <v>10</v>
      </c>
      <c r="E6" s="8">
        <f>SUM(Rankings!E3:E5000)</f>
        <v>94</v>
      </c>
      <c r="F6" s="10" t="str">
        <f>SUM(Rankings!F3:F5000)&amp;" / "&amp;SUM(Rankings!G3:G5000)&amp;" / "&amp;SUM(Rankings!H3:H5000)</f>
        <v>3481 / 1129 / 6206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4"/>
      <c r="B8" s="6" t="s">
        <v>8</v>
      </c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4"/>
      <c r="B9" s="7" t="s">
        <v>9</v>
      </c>
      <c r="C9" s="7" t="s">
        <v>10</v>
      </c>
      <c r="D9" s="7" t="s">
        <v>11</v>
      </c>
      <c r="E9" s="7" t="s">
        <v>12</v>
      </c>
      <c r="F9" s="7" t="s">
        <v>13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4"/>
      <c r="B10" s="11">
        <f>COUNTIF(Recency!D3:D5000,"&gt;"&amp;180)</f>
        <v>28</v>
      </c>
      <c r="C10" s="12">
        <f>COUNTIFS(Recency!D3:D5000,"&gt;"&amp;90,Recency!D3:D5000,"&lt;="&amp;180)</f>
        <v>20</v>
      </c>
      <c r="D10" s="13">
        <f>COUNTIF(Recency!D3:D5000,"&lt;="&amp;90)</f>
        <v>286</v>
      </c>
      <c r="E10" s="8">
        <f>COUNTA(Recency!B3:B5000)</f>
        <v>334</v>
      </c>
      <c r="F10" s="14">
        <f>IFERROR(COUNTIF(Recency!D3:D5000,"&gt;"&amp;180)/COUNTA(Recency!B3:B5000),0)</f>
        <v>0.08383233533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"/>
      <c r="B12" s="6" t="s">
        <v>14</v>
      </c>
      <c r="C12" s="2"/>
      <c r="D12" s="2"/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"/>
      <c r="B13" s="15" t="s">
        <v>15</v>
      </c>
      <c r="C13" s="7" t="s">
        <v>16</v>
      </c>
      <c r="D13" s="7" t="s">
        <v>17</v>
      </c>
      <c r="E13" s="7" t="s">
        <v>18</v>
      </c>
      <c r="F13" s="7" t="s">
        <v>19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4"/>
      <c r="B14" s="16" t="str">
        <f>IF(Rankings!E3&gt;2,"⭐ ","")&amp;Rankings!B3</f>
        <v>⭐ Palantir Technologies</v>
      </c>
      <c r="C14" s="17">
        <f>Rankings!C3</f>
        <v>355</v>
      </c>
      <c r="D14" s="17">
        <f>Rankings!E3</f>
        <v>17</v>
      </c>
      <c r="E14" s="17">
        <f>Rankings!F3</f>
        <v>194</v>
      </c>
      <c r="F14" s="17">
        <f>Rankings!H3</f>
        <v>135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4"/>
      <c r="B15" s="16" t="str">
        <f>IF(Rankings!E4&gt;2,"⭐ ","")&amp;Rankings!B4</f>
        <v>⭐ Databricks</v>
      </c>
      <c r="C15" s="17">
        <f>Rankings!C4</f>
        <v>149</v>
      </c>
      <c r="D15" s="17">
        <f>Rankings!E4</f>
        <v>3</v>
      </c>
      <c r="E15" s="17">
        <f>Rankings!F4</f>
        <v>109</v>
      </c>
      <c r="F15" s="17">
        <f>Rankings!H4</f>
        <v>116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4"/>
      <c r="B16" s="16" t="str">
        <f>IF(Rankings!E5&gt;2,"⭐ ","")&amp;Rankings!B5</f>
        <v>⭐ Glean</v>
      </c>
      <c r="C16" s="17">
        <f>Rankings!C5</f>
        <v>137</v>
      </c>
      <c r="D16" s="17">
        <f>Rankings!E5</f>
        <v>3</v>
      </c>
      <c r="E16" s="17">
        <f>Rankings!F5</f>
        <v>81</v>
      </c>
      <c r="F16" s="17">
        <f>Rankings!H5</f>
        <v>48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4"/>
      <c r="B17" s="18" t="str">
        <f>IF(Rankings!E6&gt;2,"⭐ ","")&amp;Rankings!B6</f>
        <v>⭐ Meta</v>
      </c>
      <c r="C17" s="19">
        <f>Rankings!C6</f>
        <v>124</v>
      </c>
      <c r="D17" s="19">
        <f>Rankings!E6</f>
        <v>16</v>
      </c>
      <c r="E17" s="19">
        <f>Rankings!F6</f>
        <v>336</v>
      </c>
      <c r="F17" s="19">
        <f>Rankings!H6</f>
        <v>759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4"/>
      <c r="B18" s="18" t="str">
        <f>IF(Rankings!E7&gt;2,"⭐ ","")&amp;Rankings!B7</f>
        <v>Scale AI</v>
      </c>
      <c r="C18" s="19">
        <f>Rankings!C7</f>
        <v>120</v>
      </c>
      <c r="D18" s="19">
        <f>Rankings!E7</f>
        <v>2</v>
      </c>
      <c r="E18" s="19">
        <f>Rankings!F7</f>
        <v>81</v>
      </c>
      <c r="F18" s="19">
        <f>Rankings!H7</f>
        <v>61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4"/>
      <c r="B19" s="18" t="str">
        <f>IF(Rankings!E8&gt;2,"⭐ ","")&amp;Rankings!B8</f>
        <v>⭐ xAI</v>
      </c>
      <c r="C19" s="19">
        <f>Rankings!C8</f>
        <v>112</v>
      </c>
      <c r="D19" s="19">
        <f>Rankings!E8</f>
        <v>3</v>
      </c>
      <c r="E19" s="19">
        <f>Rankings!F8</f>
        <v>73</v>
      </c>
      <c r="F19" s="19">
        <f>Rankings!H8</f>
        <v>63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"/>
      <c r="B20" s="20" t="str">
        <f>IF(Rankings!E9&gt;2,"⭐ ","")&amp;Rankings!B9</f>
        <v>⭐ Applied Intuition</v>
      </c>
      <c r="C20" s="21">
        <f>Rankings!C9</f>
        <v>112</v>
      </c>
      <c r="D20" s="21">
        <f>Rankings!E9</f>
        <v>11</v>
      </c>
      <c r="E20" s="21">
        <f>Rankings!F9</f>
        <v>56</v>
      </c>
      <c r="F20" s="21">
        <f>Rankings!H9</f>
        <v>72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"/>
      <c r="B21" s="20" t="str">
        <f>IF(Rankings!E10&gt;2,"⭐ ","")&amp;Rankings!B10</f>
        <v>OpenAI</v>
      </c>
      <c r="C21" s="21">
        <f>Rankings!C10</f>
        <v>105</v>
      </c>
      <c r="D21" s="21">
        <f>Rankings!E10</f>
        <v>1</v>
      </c>
      <c r="E21" s="21">
        <f>Rankings!F10</f>
        <v>77</v>
      </c>
      <c r="F21" s="21">
        <f>Rankings!H10</f>
        <v>60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"/>
      <c r="B22" s="20" t="str">
        <f>IF(Rankings!E11&gt;2,"⭐ ","")&amp;Rankings!B11</f>
        <v>Bloomberg</v>
      </c>
      <c r="C22" s="21">
        <f>Rankings!C11</f>
        <v>75</v>
      </c>
      <c r="D22" s="21">
        <f>Rankings!E11</f>
        <v>0</v>
      </c>
      <c r="E22" s="21">
        <f>Rankings!F11</f>
        <v>50</v>
      </c>
      <c r="F22" s="21">
        <f>Rankings!H11</f>
        <v>45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"/>
      <c r="B23" s="20" t="str">
        <f>IF(Rankings!E12&gt;2,"⭐ ","")&amp;Rankings!B12</f>
        <v>Tesla</v>
      </c>
      <c r="C23" s="21">
        <f>Rankings!C12</f>
        <v>75</v>
      </c>
      <c r="D23" s="21">
        <f>Rankings!E12</f>
        <v>0</v>
      </c>
      <c r="E23" s="21">
        <f>Rankings!F12</f>
        <v>66</v>
      </c>
      <c r="F23" s="21">
        <f>Rankings!H12</f>
        <v>72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7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4"/>
      <c r="B25" s="6" t="s">
        <v>20</v>
      </c>
      <c r="C25" s="2"/>
      <c r="D25" s="2"/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75" customHeight="1">
      <c r="A26" s="4"/>
      <c r="B26" s="22" t="s">
        <v>21</v>
      </c>
      <c r="C26" s="2"/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4"/>
      <c r="B27" s="15" t="s">
        <v>15</v>
      </c>
      <c r="C27" s="7" t="s">
        <v>16</v>
      </c>
      <c r="D27" s="7" t="s">
        <v>22</v>
      </c>
      <c r="E27" s="7" t="s">
        <v>23</v>
      </c>
      <c r="F27" s="7" t="s">
        <v>24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"/>
      <c r="B28" s="23" t="s">
        <v>25</v>
      </c>
      <c r="C28" s="24">
        <v>8.0</v>
      </c>
      <c r="D28" s="24">
        <v>204.0</v>
      </c>
      <c r="E28" s="24">
        <v>4.0</v>
      </c>
      <c r="F28" s="24">
        <v>1.0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"/>
      <c r="B29" s="25" t="s">
        <v>26</v>
      </c>
      <c r="C29" s="26">
        <v>7.0</v>
      </c>
      <c r="D29" s="26">
        <v>375.0</v>
      </c>
      <c r="E29" s="26">
        <v>3.0</v>
      </c>
      <c r="F29" s="26">
        <v>1.0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"/>
      <c r="B30" s="23" t="s">
        <v>27</v>
      </c>
      <c r="C30" s="24">
        <v>7.0</v>
      </c>
      <c r="D30" s="24">
        <v>248.0</v>
      </c>
      <c r="E30" s="24">
        <v>3.0</v>
      </c>
      <c r="F30" s="24">
        <v>3.0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"/>
      <c r="B31" s="23" t="s">
        <v>28</v>
      </c>
      <c r="C31" s="24">
        <v>5.0</v>
      </c>
      <c r="D31" s="24">
        <v>182.0</v>
      </c>
      <c r="E31" s="24">
        <v>6.0</v>
      </c>
      <c r="F31" s="24">
        <v>5.0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"/>
      <c r="B32" s="27" t="s">
        <v>29</v>
      </c>
      <c r="C32" s="28">
        <v>4.0</v>
      </c>
      <c r="D32" s="28">
        <v>212.0</v>
      </c>
      <c r="E32" s="28">
        <v>2.0</v>
      </c>
      <c r="F32" s="28">
        <v>1.0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"/>
      <c r="B33" s="27" t="s">
        <v>30</v>
      </c>
      <c r="C33" s="28">
        <v>4.0</v>
      </c>
      <c r="D33" s="28">
        <v>262.0</v>
      </c>
      <c r="E33" s="28">
        <v>2.0</v>
      </c>
      <c r="F33" s="28">
        <v>2.0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"/>
      <c r="B34" s="23" t="s">
        <v>31</v>
      </c>
      <c r="C34" s="24">
        <v>4.0</v>
      </c>
      <c r="D34" s="24">
        <v>196.0</v>
      </c>
      <c r="E34" s="24">
        <v>2.0</v>
      </c>
      <c r="F34" s="24">
        <v>2.0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25" t="s">
        <v>32</v>
      </c>
      <c r="C35" s="26">
        <v>4.0</v>
      </c>
      <c r="D35" s="26">
        <v>199.0</v>
      </c>
      <c r="E35" s="26">
        <v>2.0</v>
      </c>
      <c r="F35" s="26">
        <v>2.0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25" t="s">
        <v>33</v>
      </c>
      <c r="C36" s="26">
        <v>4.0</v>
      </c>
      <c r="D36" s="26">
        <v>204.0</v>
      </c>
      <c r="E36" s="26">
        <v>2.0</v>
      </c>
      <c r="F36" s="26">
        <v>2.0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23" t="s">
        <v>34</v>
      </c>
      <c r="C37" s="24">
        <v>3.0</v>
      </c>
      <c r="D37" s="24">
        <v>181.0</v>
      </c>
      <c r="E37" s="24">
        <v>2.0</v>
      </c>
      <c r="F37" s="24">
        <v>2.0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7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7.75" customHeight="1">
      <c r="A39" s="4"/>
      <c r="B39" s="22" t="s">
        <v>35</v>
      </c>
      <c r="C39" s="2"/>
      <c r="D39" s="2"/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F1"/>
    <mergeCell ref="A2:F2"/>
    <mergeCell ref="B4:F4"/>
    <mergeCell ref="B8:F8"/>
    <mergeCell ref="B12:F12"/>
    <mergeCell ref="B25:F25"/>
    <mergeCell ref="B26:F26"/>
    <mergeCell ref="B39:F3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6.0"/>
    <col customWidth="1" min="3" max="4" width="12.0"/>
    <col customWidth="1" min="5" max="5" width="12.71"/>
    <col customWidth="1" min="6" max="6" width="12.0"/>
    <col customWidth="1" min="7" max="7" width="12.43"/>
    <col customWidth="1" min="8" max="8" width="8.57"/>
    <col customWidth="1" min="9" max="13" width="8.71"/>
  </cols>
  <sheetData>
    <row r="1" ht="27.75" customHeight="1">
      <c r="A1" s="29" t="s">
        <v>36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30" t="s">
        <v>37</v>
      </c>
      <c r="B2" s="30" t="s">
        <v>15</v>
      </c>
      <c r="C2" s="30" t="s">
        <v>38</v>
      </c>
      <c r="D2" s="30" t="s">
        <v>39</v>
      </c>
      <c r="E2" s="30" t="s">
        <v>40</v>
      </c>
      <c r="F2" s="30" t="s">
        <v>18</v>
      </c>
      <c r="G2" s="30" t="s">
        <v>41</v>
      </c>
      <c r="H2" s="30" t="s">
        <v>19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31">
        <v>1.0</v>
      </c>
      <c r="B3" s="32" t="s">
        <v>42</v>
      </c>
      <c r="C3" s="31">
        <v>355.0</v>
      </c>
      <c r="D3" s="31">
        <v>363.0</v>
      </c>
      <c r="E3" s="31">
        <v>17.0</v>
      </c>
      <c r="F3" s="31">
        <v>194.0</v>
      </c>
      <c r="G3" s="31">
        <v>17.0</v>
      </c>
      <c r="H3" s="31">
        <v>135.0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31">
        <v>2.0</v>
      </c>
      <c r="B4" s="32" t="s">
        <v>43</v>
      </c>
      <c r="C4" s="31">
        <v>149.0</v>
      </c>
      <c r="D4" s="31">
        <v>260.0</v>
      </c>
      <c r="E4" s="31">
        <v>3.0</v>
      </c>
      <c r="F4" s="31">
        <v>109.0</v>
      </c>
      <c r="G4" s="31">
        <v>32.0</v>
      </c>
      <c r="H4" s="31">
        <v>116.0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31">
        <v>3.0</v>
      </c>
      <c r="B5" s="32" t="s">
        <v>44</v>
      </c>
      <c r="C5" s="31">
        <v>137.0</v>
      </c>
      <c r="D5" s="31">
        <v>140.0</v>
      </c>
      <c r="E5" s="31">
        <v>3.0</v>
      </c>
      <c r="F5" s="31">
        <v>81.0</v>
      </c>
      <c r="G5" s="31">
        <v>8.0</v>
      </c>
      <c r="H5" s="31">
        <v>48.0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31">
        <v>4.0</v>
      </c>
      <c r="B6" s="32" t="s">
        <v>45</v>
      </c>
      <c r="C6" s="31">
        <v>124.0</v>
      </c>
      <c r="D6" s="31">
        <v>1242.0</v>
      </c>
      <c r="E6" s="31">
        <v>16.0</v>
      </c>
      <c r="F6" s="31">
        <v>336.0</v>
      </c>
      <c r="G6" s="31">
        <v>131.0</v>
      </c>
      <c r="H6" s="31">
        <v>759.0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33">
        <v>5.0</v>
      </c>
      <c r="B7" s="34" t="s">
        <v>46</v>
      </c>
      <c r="C7" s="33">
        <v>120.0</v>
      </c>
      <c r="D7" s="33">
        <v>153.0</v>
      </c>
      <c r="E7" s="33">
        <v>2.0</v>
      </c>
      <c r="F7" s="33">
        <v>81.0</v>
      </c>
      <c r="G7" s="33">
        <v>9.0</v>
      </c>
      <c r="H7" s="33">
        <v>61.0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31">
        <v>6.0</v>
      </c>
      <c r="B8" s="32" t="s">
        <v>47</v>
      </c>
      <c r="C8" s="31">
        <v>112.0</v>
      </c>
      <c r="D8" s="31">
        <v>153.0</v>
      </c>
      <c r="E8" s="31">
        <v>3.0</v>
      </c>
      <c r="F8" s="31">
        <v>73.0</v>
      </c>
      <c r="G8" s="31">
        <v>14.0</v>
      </c>
      <c r="H8" s="31">
        <v>63.0</v>
      </c>
      <c r="I8" s="4"/>
      <c r="J8" s="4"/>
      <c r="K8" s="4"/>
      <c r="L8" s="4"/>
      <c r="M8" s="18" t="s">
        <v>48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31">
        <v>7.0</v>
      </c>
      <c r="B9" s="32" t="s">
        <v>49</v>
      </c>
      <c r="C9" s="31">
        <v>112.0</v>
      </c>
      <c r="D9" s="31">
        <v>156.0</v>
      </c>
      <c r="E9" s="31">
        <v>11.0</v>
      </c>
      <c r="F9" s="31">
        <v>56.0</v>
      </c>
      <c r="G9" s="31">
        <v>17.0</v>
      </c>
      <c r="H9" s="31">
        <v>72.0</v>
      </c>
      <c r="I9" s="4"/>
      <c r="J9" s="4"/>
      <c r="K9" s="4"/>
      <c r="L9" s="4"/>
      <c r="M9" s="18" t="s">
        <v>50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33">
        <v>8.0</v>
      </c>
      <c r="B10" s="34" t="s">
        <v>51</v>
      </c>
      <c r="C10" s="33">
        <v>105.0</v>
      </c>
      <c r="D10" s="33">
        <v>144.0</v>
      </c>
      <c r="E10" s="33">
        <v>1.0</v>
      </c>
      <c r="F10" s="33">
        <v>77.0</v>
      </c>
      <c r="G10" s="33">
        <v>6.0</v>
      </c>
      <c r="H10" s="33">
        <v>60.0</v>
      </c>
      <c r="I10" s="4"/>
      <c r="J10" s="4"/>
      <c r="K10" s="4"/>
      <c r="L10" s="4"/>
      <c r="M10" s="18" t="s">
        <v>52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33">
        <v>9.0</v>
      </c>
      <c r="B11" s="34" t="s">
        <v>53</v>
      </c>
      <c r="C11" s="33">
        <v>75.0</v>
      </c>
      <c r="D11" s="33">
        <v>115.0</v>
      </c>
      <c r="E11" s="33">
        <v>0.0</v>
      </c>
      <c r="F11" s="33">
        <v>50.0</v>
      </c>
      <c r="G11" s="33">
        <v>20.0</v>
      </c>
      <c r="H11" s="33">
        <v>45.0</v>
      </c>
      <c r="I11" s="4"/>
      <c r="J11" s="4"/>
      <c r="K11" s="4"/>
      <c r="L11" s="4"/>
      <c r="M11" s="18" t="s">
        <v>54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33">
        <v>10.0</v>
      </c>
      <c r="B12" s="34" t="s">
        <v>55</v>
      </c>
      <c r="C12" s="33">
        <v>75.0</v>
      </c>
      <c r="D12" s="33">
        <v>153.0</v>
      </c>
      <c r="E12" s="33">
        <v>0.0</v>
      </c>
      <c r="F12" s="33">
        <v>66.0</v>
      </c>
      <c r="G12" s="33">
        <v>15.0</v>
      </c>
      <c r="H12" s="33">
        <v>72.0</v>
      </c>
      <c r="I12" s="4"/>
      <c r="J12" s="4"/>
      <c r="K12" s="4"/>
      <c r="L12" s="4"/>
      <c r="M12" s="18" t="s">
        <v>56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33">
        <v>11.0</v>
      </c>
      <c r="B13" s="34" t="s">
        <v>57</v>
      </c>
      <c r="C13" s="33">
        <v>65.0</v>
      </c>
      <c r="D13" s="33">
        <v>77.0</v>
      </c>
      <c r="E13" s="33">
        <v>0.0</v>
      </c>
      <c r="F13" s="33">
        <v>44.0</v>
      </c>
      <c r="G13" s="33">
        <v>5.0</v>
      </c>
      <c r="H13" s="33">
        <v>28.0</v>
      </c>
      <c r="I13" s="4"/>
      <c r="J13" s="4"/>
      <c r="K13" s="4"/>
      <c r="L13" s="4"/>
      <c r="M13" s="18" t="s">
        <v>58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33">
        <v>12.0</v>
      </c>
      <c r="B14" s="34" t="s">
        <v>59</v>
      </c>
      <c r="C14" s="33">
        <v>58.0</v>
      </c>
      <c r="D14" s="33">
        <v>82.0</v>
      </c>
      <c r="E14" s="33">
        <v>0.0</v>
      </c>
      <c r="F14" s="33">
        <v>42.0</v>
      </c>
      <c r="G14" s="33">
        <v>7.0</v>
      </c>
      <c r="H14" s="33">
        <v>33.0</v>
      </c>
      <c r="I14" s="4"/>
      <c r="J14" s="4"/>
      <c r="K14" s="4"/>
      <c r="L14" s="4"/>
      <c r="M14" s="18" t="s">
        <v>60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33">
        <v>13.0</v>
      </c>
      <c r="B15" s="34" t="s">
        <v>61</v>
      </c>
      <c r="C15" s="33">
        <v>56.0</v>
      </c>
      <c r="D15" s="33">
        <v>125.0</v>
      </c>
      <c r="E15" s="33">
        <v>1.0</v>
      </c>
      <c r="F15" s="33">
        <v>51.0</v>
      </c>
      <c r="G15" s="33">
        <v>11.0</v>
      </c>
      <c r="H15" s="33">
        <v>62.0</v>
      </c>
      <c r="I15" s="4"/>
      <c r="J15" s="4"/>
      <c r="K15" s="4"/>
      <c r="L15" s="4"/>
      <c r="M15" s="35" t="s">
        <v>62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33">
        <v>14.0</v>
      </c>
      <c r="B16" s="34" t="s">
        <v>63</v>
      </c>
      <c r="C16" s="33">
        <v>52.0</v>
      </c>
      <c r="D16" s="33">
        <v>167.0</v>
      </c>
      <c r="E16" s="33">
        <v>1.0</v>
      </c>
      <c r="F16" s="33">
        <v>65.0</v>
      </c>
      <c r="G16" s="33">
        <v>9.0</v>
      </c>
      <c r="H16" s="33">
        <v>92.0</v>
      </c>
      <c r="I16" s="4"/>
      <c r="J16" s="4"/>
      <c r="K16" s="4"/>
      <c r="L16" s="4"/>
      <c r="M16" s="20" t="s">
        <v>64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36">
        <v>15.0</v>
      </c>
      <c r="B17" s="37" t="s">
        <v>65</v>
      </c>
      <c r="C17" s="36">
        <v>49.0</v>
      </c>
      <c r="D17" s="36">
        <v>649.0</v>
      </c>
      <c r="E17" s="36">
        <v>0.0</v>
      </c>
      <c r="F17" s="36">
        <v>170.0</v>
      </c>
      <c r="G17" s="36">
        <v>94.0</v>
      </c>
      <c r="H17" s="36">
        <v>385.0</v>
      </c>
      <c r="I17" s="4"/>
      <c r="J17" s="4"/>
      <c r="K17" s="4"/>
      <c r="L17" s="4"/>
      <c r="M17" s="20" t="s">
        <v>66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36">
        <v>16.0</v>
      </c>
      <c r="B18" s="37" t="s">
        <v>67</v>
      </c>
      <c r="C18" s="36">
        <v>45.0</v>
      </c>
      <c r="D18" s="36">
        <v>105.0</v>
      </c>
      <c r="E18" s="36">
        <v>0.0</v>
      </c>
      <c r="F18" s="36">
        <v>46.0</v>
      </c>
      <c r="G18" s="36">
        <v>6.0</v>
      </c>
      <c r="H18" s="36">
        <v>53.0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36">
        <v>17.0</v>
      </c>
      <c r="B19" s="37" t="s">
        <v>68</v>
      </c>
      <c r="C19" s="36">
        <v>40.0</v>
      </c>
      <c r="D19" s="36">
        <v>25.0</v>
      </c>
      <c r="E19" s="36">
        <v>0.0</v>
      </c>
      <c r="F19" s="36">
        <v>21.0</v>
      </c>
      <c r="G19" s="36">
        <v>1.0</v>
      </c>
      <c r="H19" s="36">
        <v>3.0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31">
        <v>18.0</v>
      </c>
      <c r="B20" s="32" t="s">
        <v>69</v>
      </c>
      <c r="C20" s="31">
        <v>35.0</v>
      </c>
      <c r="D20" s="31">
        <v>16.0</v>
      </c>
      <c r="E20" s="31">
        <v>4.0</v>
      </c>
      <c r="F20" s="31">
        <v>9.0</v>
      </c>
      <c r="G20" s="31">
        <v>0.0</v>
      </c>
      <c r="H20" s="31">
        <v>3.0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>
        <v>19.0</v>
      </c>
      <c r="B21" s="37" t="s">
        <v>70</v>
      </c>
      <c r="C21" s="36">
        <v>33.0</v>
      </c>
      <c r="D21" s="36">
        <v>72.0</v>
      </c>
      <c r="E21" s="36">
        <v>0.0</v>
      </c>
      <c r="F21" s="36">
        <v>27.0</v>
      </c>
      <c r="G21" s="36">
        <v>12.0</v>
      </c>
      <c r="H21" s="36">
        <v>33.0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6">
        <v>20.0</v>
      </c>
      <c r="B22" s="37" t="s">
        <v>71</v>
      </c>
      <c r="C22" s="36">
        <v>31.0</v>
      </c>
      <c r="D22" s="36">
        <v>27.0</v>
      </c>
      <c r="E22" s="36">
        <v>1.0</v>
      </c>
      <c r="F22" s="36">
        <v>14.0</v>
      </c>
      <c r="G22" s="36">
        <v>5.0</v>
      </c>
      <c r="H22" s="36">
        <v>7.0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1">
        <v>21.0</v>
      </c>
      <c r="B23" s="32" t="s">
        <v>72</v>
      </c>
      <c r="C23" s="31">
        <v>31.0</v>
      </c>
      <c r="D23" s="31">
        <v>33.0</v>
      </c>
      <c r="E23" s="31">
        <v>3.0</v>
      </c>
      <c r="F23" s="31">
        <v>14.0</v>
      </c>
      <c r="G23" s="31">
        <v>2.0</v>
      </c>
      <c r="H23" s="31">
        <v>14.0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1">
        <v>22.0</v>
      </c>
      <c r="B24" s="32" t="s">
        <v>73</v>
      </c>
      <c r="C24" s="31">
        <v>28.0</v>
      </c>
      <c r="D24" s="31">
        <v>52.0</v>
      </c>
      <c r="E24" s="31">
        <v>3.0</v>
      </c>
      <c r="F24" s="31">
        <v>18.0</v>
      </c>
      <c r="G24" s="31">
        <v>4.0</v>
      </c>
      <c r="H24" s="31">
        <v>27.0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6">
        <v>23.0</v>
      </c>
      <c r="B25" s="37" t="s">
        <v>74</v>
      </c>
      <c r="C25" s="36">
        <v>27.0</v>
      </c>
      <c r="D25" s="36">
        <v>68.0</v>
      </c>
      <c r="E25" s="36">
        <v>0.0</v>
      </c>
      <c r="F25" s="36">
        <v>31.0</v>
      </c>
      <c r="G25" s="36">
        <v>1.0</v>
      </c>
      <c r="H25" s="36">
        <v>36.0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6">
        <v>24.0</v>
      </c>
      <c r="B26" s="37" t="s">
        <v>75</v>
      </c>
      <c r="C26" s="36">
        <v>27.0</v>
      </c>
      <c r="D26" s="36">
        <v>25.0</v>
      </c>
      <c r="E26" s="36">
        <v>0.0</v>
      </c>
      <c r="F26" s="36">
        <v>16.0</v>
      </c>
      <c r="G26" s="36">
        <v>2.0</v>
      </c>
      <c r="H26" s="36">
        <v>7.0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6">
        <v>25.0</v>
      </c>
      <c r="B27" s="37" t="s">
        <v>76</v>
      </c>
      <c r="C27" s="36">
        <v>27.0</v>
      </c>
      <c r="D27" s="36">
        <v>46.0</v>
      </c>
      <c r="E27" s="36">
        <v>1.0</v>
      </c>
      <c r="F27" s="36">
        <v>19.0</v>
      </c>
      <c r="G27" s="36">
        <v>5.0</v>
      </c>
      <c r="H27" s="36">
        <v>21.0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>
        <v>26.0</v>
      </c>
      <c r="B28" s="37" t="s">
        <v>48</v>
      </c>
      <c r="C28" s="36">
        <v>24.0</v>
      </c>
      <c r="D28" s="36">
        <v>14.0</v>
      </c>
      <c r="E28" s="36">
        <v>0.0</v>
      </c>
      <c r="F28" s="36">
        <v>12.0</v>
      </c>
      <c r="G28" s="36">
        <v>1.0</v>
      </c>
      <c r="H28" s="36">
        <v>1.0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6">
        <v>27.0</v>
      </c>
      <c r="B29" s="37" t="s">
        <v>77</v>
      </c>
      <c r="C29" s="36">
        <v>23.0</v>
      </c>
      <c r="D29" s="36">
        <v>89.0</v>
      </c>
      <c r="E29" s="36">
        <v>0.0</v>
      </c>
      <c r="F29" s="36">
        <v>24.0</v>
      </c>
      <c r="G29" s="36">
        <v>20.0</v>
      </c>
      <c r="H29" s="36">
        <v>45.0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>
        <v>28.0</v>
      </c>
      <c r="B30" s="37" t="s">
        <v>78</v>
      </c>
      <c r="C30" s="36">
        <v>23.0</v>
      </c>
      <c r="D30" s="36">
        <v>42.0</v>
      </c>
      <c r="E30" s="36">
        <v>0.0</v>
      </c>
      <c r="F30" s="36">
        <v>19.0</v>
      </c>
      <c r="G30" s="36">
        <v>4.0</v>
      </c>
      <c r="H30" s="36">
        <v>19.0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6">
        <v>29.0</v>
      </c>
      <c r="B31" s="37" t="s">
        <v>50</v>
      </c>
      <c r="C31" s="36">
        <v>21.0</v>
      </c>
      <c r="D31" s="36">
        <v>24.0</v>
      </c>
      <c r="E31" s="36">
        <v>1.0</v>
      </c>
      <c r="F31" s="36">
        <v>11.0</v>
      </c>
      <c r="G31" s="36">
        <v>3.0</v>
      </c>
      <c r="H31" s="36">
        <v>9.0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6">
        <v>30.0</v>
      </c>
      <c r="B32" s="37" t="s">
        <v>79</v>
      </c>
      <c r="C32" s="36">
        <v>21.0</v>
      </c>
      <c r="D32" s="36">
        <v>32.0</v>
      </c>
      <c r="E32" s="36">
        <v>0.0</v>
      </c>
      <c r="F32" s="36">
        <v>15.0</v>
      </c>
      <c r="G32" s="36">
        <v>4.0</v>
      </c>
      <c r="H32" s="36">
        <v>13.0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6">
        <v>31.0</v>
      </c>
      <c r="B33" s="37" t="s">
        <v>80</v>
      </c>
      <c r="C33" s="36">
        <v>21.0</v>
      </c>
      <c r="D33" s="36">
        <v>54.0</v>
      </c>
      <c r="E33" s="36">
        <v>0.0</v>
      </c>
      <c r="F33" s="36">
        <v>19.0</v>
      </c>
      <c r="G33" s="36">
        <v>9.0</v>
      </c>
      <c r="H33" s="36">
        <v>26.0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6">
        <v>32.0</v>
      </c>
      <c r="B34" s="37" t="s">
        <v>81</v>
      </c>
      <c r="C34" s="36">
        <v>21.0</v>
      </c>
      <c r="D34" s="36">
        <v>16.0</v>
      </c>
      <c r="E34" s="36">
        <v>0.0</v>
      </c>
      <c r="F34" s="36">
        <v>11.0</v>
      </c>
      <c r="G34" s="36">
        <v>2.0</v>
      </c>
      <c r="H34" s="36">
        <v>3.0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6">
        <v>33.0</v>
      </c>
      <c r="B35" s="37" t="s">
        <v>82</v>
      </c>
      <c r="C35" s="36">
        <v>20.0</v>
      </c>
      <c r="D35" s="36">
        <v>16.0</v>
      </c>
      <c r="E35" s="36">
        <v>0.0</v>
      </c>
      <c r="F35" s="36">
        <v>12.0</v>
      </c>
      <c r="G35" s="36">
        <v>0.0</v>
      </c>
      <c r="H35" s="36">
        <v>4.0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6">
        <v>34.0</v>
      </c>
      <c r="B36" s="37" t="s">
        <v>83</v>
      </c>
      <c r="C36" s="36">
        <v>19.0</v>
      </c>
      <c r="D36" s="36">
        <v>51.0</v>
      </c>
      <c r="E36" s="36">
        <v>2.0</v>
      </c>
      <c r="F36" s="36">
        <v>16.0</v>
      </c>
      <c r="G36" s="36">
        <v>5.0</v>
      </c>
      <c r="H36" s="36">
        <v>28.0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6">
        <v>35.0</v>
      </c>
      <c r="B37" s="37" t="s">
        <v>84</v>
      </c>
      <c r="C37" s="36">
        <v>19.0</v>
      </c>
      <c r="D37" s="36">
        <v>39.0</v>
      </c>
      <c r="E37" s="36">
        <v>0.0</v>
      </c>
      <c r="F37" s="36">
        <v>16.0</v>
      </c>
      <c r="G37" s="36">
        <v>5.0</v>
      </c>
      <c r="H37" s="36">
        <v>18.0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6">
        <v>36.0</v>
      </c>
      <c r="B38" s="37" t="s">
        <v>85</v>
      </c>
      <c r="C38" s="36">
        <v>17.0</v>
      </c>
      <c r="D38" s="36">
        <v>26.0</v>
      </c>
      <c r="E38" s="36">
        <v>2.0</v>
      </c>
      <c r="F38" s="36">
        <v>9.0</v>
      </c>
      <c r="G38" s="36">
        <v>2.0</v>
      </c>
      <c r="H38" s="36">
        <v>13.0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6">
        <v>37.0</v>
      </c>
      <c r="B39" s="37" t="s">
        <v>86</v>
      </c>
      <c r="C39" s="36">
        <v>17.0</v>
      </c>
      <c r="D39" s="36">
        <v>13.0</v>
      </c>
      <c r="E39" s="36">
        <v>0.0</v>
      </c>
      <c r="F39" s="36">
        <v>10.0</v>
      </c>
      <c r="G39" s="36">
        <v>0.0</v>
      </c>
      <c r="H39" s="36">
        <v>3.0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6">
        <v>38.0</v>
      </c>
      <c r="B40" s="37" t="s">
        <v>52</v>
      </c>
      <c r="C40" s="36">
        <v>17.0</v>
      </c>
      <c r="D40" s="36">
        <v>17.0</v>
      </c>
      <c r="E40" s="36">
        <v>0.0</v>
      </c>
      <c r="F40" s="36">
        <v>10.0</v>
      </c>
      <c r="G40" s="36">
        <v>2.0</v>
      </c>
      <c r="H40" s="36">
        <v>5.0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6">
        <v>39.0</v>
      </c>
      <c r="B41" s="37" t="s">
        <v>87</v>
      </c>
      <c r="C41" s="36">
        <v>17.0</v>
      </c>
      <c r="D41" s="36">
        <v>10.0</v>
      </c>
      <c r="E41" s="36">
        <v>2.0</v>
      </c>
      <c r="F41" s="36">
        <v>5.0</v>
      </c>
      <c r="G41" s="36">
        <v>0.0</v>
      </c>
      <c r="H41" s="36">
        <v>3.0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6">
        <v>40.0</v>
      </c>
      <c r="B42" s="37" t="s">
        <v>88</v>
      </c>
      <c r="C42" s="36">
        <v>16.0</v>
      </c>
      <c r="D42" s="36">
        <v>17.0</v>
      </c>
      <c r="E42" s="36">
        <v>0.0</v>
      </c>
      <c r="F42" s="36">
        <v>9.0</v>
      </c>
      <c r="G42" s="36">
        <v>3.0</v>
      </c>
      <c r="H42" s="36">
        <v>5.0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6">
        <v>41.0</v>
      </c>
      <c r="B43" s="37" t="s">
        <v>89</v>
      </c>
      <c r="C43" s="36">
        <v>16.0</v>
      </c>
      <c r="D43" s="36">
        <v>24.0</v>
      </c>
      <c r="E43" s="36">
        <v>0.0</v>
      </c>
      <c r="F43" s="36">
        <v>12.0</v>
      </c>
      <c r="G43" s="36">
        <v>2.0</v>
      </c>
      <c r="H43" s="36">
        <v>10.0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6">
        <v>42.0</v>
      </c>
      <c r="B44" s="37" t="s">
        <v>90</v>
      </c>
      <c r="C44" s="36">
        <v>15.0</v>
      </c>
      <c r="D44" s="36">
        <v>9.0</v>
      </c>
      <c r="E44" s="36">
        <v>0.0</v>
      </c>
      <c r="F44" s="36">
        <v>8.0</v>
      </c>
      <c r="G44" s="36">
        <v>0.0</v>
      </c>
      <c r="H44" s="36">
        <v>1.0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6">
        <v>43.0</v>
      </c>
      <c r="B45" s="37" t="s">
        <v>91</v>
      </c>
      <c r="C45" s="36">
        <v>15.0</v>
      </c>
      <c r="D45" s="36">
        <v>23.0</v>
      </c>
      <c r="E45" s="36">
        <v>0.0</v>
      </c>
      <c r="F45" s="36">
        <v>12.0</v>
      </c>
      <c r="G45" s="36">
        <v>1.0</v>
      </c>
      <c r="H45" s="36">
        <v>10.0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6">
        <v>44.0</v>
      </c>
      <c r="B46" s="37" t="s">
        <v>92</v>
      </c>
      <c r="C46" s="36">
        <v>15.0</v>
      </c>
      <c r="D46" s="36">
        <v>6.0</v>
      </c>
      <c r="E46" s="36">
        <v>1.0</v>
      </c>
      <c r="F46" s="36">
        <v>5.0</v>
      </c>
      <c r="G46" s="36">
        <v>0.0</v>
      </c>
      <c r="H46" s="36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6">
        <v>45.0</v>
      </c>
      <c r="B47" s="37" t="s">
        <v>93</v>
      </c>
      <c r="C47" s="36">
        <v>14.0</v>
      </c>
      <c r="D47" s="36">
        <v>9.0</v>
      </c>
      <c r="E47" s="36">
        <v>0.0</v>
      </c>
      <c r="F47" s="36">
        <v>7.0</v>
      </c>
      <c r="G47" s="36">
        <v>1.0</v>
      </c>
      <c r="H47" s="36">
        <v>1.0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6">
        <v>46.0</v>
      </c>
      <c r="B48" s="37" t="s">
        <v>94</v>
      </c>
      <c r="C48" s="36">
        <v>14.0</v>
      </c>
      <c r="D48" s="36">
        <v>17.0</v>
      </c>
      <c r="E48" s="36">
        <v>0.0</v>
      </c>
      <c r="F48" s="36">
        <v>9.0</v>
      </c>
      <c r="G48" s="36">
        <v>2.0</v>
      </c>
      <c r="H48" s="36">
        <v>6.0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6">
        <v>47.0</v>
      </c>
      <c r="B49" s="37" t="s">
        <v>95</v>
      </c>
      <c r="C49" s="36">
        <v>14.0</v>
      </c>
      <c r="D49" s="36">
        <v>10.0</v>
      </c>
      <c r="E49" s="36">
        <v>0.0</v>
      </c>
      <c r="F49" s="36">
        <v>8.0</v>
      </c>
      <c r="G49" s="36">
        <v>0.0</v>
      </c>
      <c r="H49" s="36">
        <v>2.0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1">
        <v>48.0</v>
      </c>
      <c r="B50" s="32" t="s">
        <v>96</v>
      </c>
      <c r="C50" s="31">
        <v>13.0</v>
      </c>
      <c r="D50" s="31">
        <v>66.0</v>
      </c>
      <c r="E50" s="31">
        <v>3.0</v>
      </c>
      <c r="F50" s="31">
        <v>19.0</v>
      </c>
      <c r="G50" s="31">
        <v>2.0</v>
      </c>
      <c r="H50" s="31">
        <v>42.0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6">
        <v>49.0</v>
      </c>
      <c r="B51" s="37" t="s">
        <v>97</v>
      </c>
      <c r="C51" s="36">
        <v>13.0</v>
      </c>
      <c r="D51" s="36">
        <v>19.0</v>
      </c>
      <c r="E51" s="36">
        <v>0.0</v>
      </c>
      <c r="F51" s="36">
        <v>10.0</v>
      </c>
      <c r="G51" s="36">
        <v>1.0</v>
      </c>
      <c r="H51" s="36">
        <v>8.0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6">
        <v>50.0</v>
      </c>
      <c r="B52" s="37" t="s">
        <v>54</v>
      </c>
      <c r="C52" s="36">
        <v>13.0</v>
      </c>
      <c r="D52" s="36">
        <v>8.0</v>
      </c>
      <c r="E52" s="36">
        <v>0.0</v>
      </c>
      <c r="F52" s="36">
        <v>7.0</v>
      </c>
      <c r="G52" s="36">
        <v>0.0</v>
      </c>
      <c r="H52" s="36">
        <v>1.0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6">
        <v>51.0</v>
      </c>
      <c r="B53" s="37" t="s">
        <v>98</v>
      </c>
      <c r="C53" s="36">
        <v>12.0</v>
      </c>
      <c r="D53" s="36">
        <v>27.0</v>
      </c>
      <c r="E53" s="36">
        <v>0.0</v>
      </c>
      <c r="F53" s="36">
        <v>11.0</v>
      </c>
      <c r="G53" s="36">
        <v>3.0</v>
      </c>
      <c r="H53" s="36">
        <v>13.0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6">
        <v>52.0</v>
      </c>
      <c r="B54" s="37" t="s">
        <v>99</v>
      </c>
      <c r="C54" s="36">
        <v>12.0</v>
      </c>
      <c r="D54" s="36">
        <v>8.0</v>
      </c>
      <c r="E54" s="36">
        <v>0.0</v>
      </c>
      <c r="F54" s="36">
        <v>6.0</v>
      </c>
      <c r="G54" s="36">
        <v>1.0</v>
      </c>
      <c r="H54" s="36">
        <v>1.0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6">
        <v>53.0</v>
      </c>
      <c r="B55" s="37" t="s">
        <v>100</v>
      </c>
      <c r="C55" s="36">
        <v>12.0</v>
      </c>
      <c r="D55" s="36">
        <v>25.0</v>
      </c>
      <c r="E55" s="36">
        <v>0.0</v>
      </c>
      <c r="F55" s="36">
        <v>9.0</v>
      </c>
      <c r="G55" s="36">
        <v>5.0</v>
      </c>
      <c r="H55" s="36">
        <v>11.0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6">
        <v>54.0</v>
      </c>
      <c r="B56" s="37" t="s">
        <v>101</v>
      </c>
      <c r="C56" s="36">
        <v>11.0</v>
      </c>
      <c r="D56" s="36">
        <v>17.0</v>
      </c>
      <c r="E56" s="36">
        <v>0.0</v>
      </c>
      <c r="F56" s="36">
        <v>8.0</v>
      </c>
      <c r="G56" s="36">
        <v>2.0</v>
      </c>
      <c r="H56" s="36">
        <v>7.0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6">
        <v>55.0</v>
      </c>
      <c r="B57" s="37" t="s">
        <v>102</v>
      </c>
      <c r="C57" s="36">
        <v>11.0</v>
      </c>
      <c r="D57" s="36">
        <v>17.0</v>
      </c>
      <c r="E57" s="36">
        <v>0.0</v>
      </c>
      <c r="F57" s="36">
        <v>8.0</v>
      </c>
      <c r="G57" s="36">
        <v>2.0</v>
      </c>
      <c r="H57" s="36">
        <v>7.0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6">
        <v>56.0</v>
      </c>
      <c r="B58" s="37" t="s">
        <v>103</v>
      </c>
      <c r="C58" s="36">
        <v>11.0</v>
      </c>
      <c r="D58" s="36">
        <v>12.0</v>
      </c>
      <c r="E58" s="36">
        <v>0.0</v>
      </c>
      <c r="F58" s="36">
        <v>5.0</v>
      </c>
      <c r="G58" s="36">
        <v>4.0</v>
      </c>
      <c r="H58" s="36">
        <v>3.0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6">
        <v>57.0</v>
      </c>
      <c r="B59" s="37" t="s">
        <v>104</v>
      </c>
      <c r="C59" s="36">
        <v>11.0</v>
      </c>
      <c r="D59" s="36">
        <v>16.0</v>
      </c>
      <c r="E59" s="36">
        <v>0.0</v>
      </c>
      <c r="F59" s="36">
        <v>9.0</v>
      </c>
      <c r="G59" s="36">
        <v>0.0</v>
      </c>
      <c r="H59" s="36">
        <v>7.0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6">
        <v>58.0</v>
      </c>
      <c r="B60" s="37" t="s">
        <v>58</v>
      </c>
      <c r="C60" s="36">
        <v>11.0</v>
      </c>
      <c r="D60" s="36">
        <v>7.0</v>
      </c>
      <c r="E60" s="36">
        <v>0.0</v>
      </c>
      <c r="F60" s="36">
        <v>6.0</v>
      </c>
      <c r="G60" s="36">
        <v>0.0</v>
      </c>
      <c r="H60" s="36">
        <v>1.0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6">
        <v>59.0</v>
      </c>
      <c r="B61" s="37" t="s">
        <v>105</v>
      </c>
      <c r="C61" s="36">
        <v>11.0</v>
      </c>
      <c r="D61" s="36">
        <v>133.0</v>
      </c>
      <c r="E61" s="36">
        <v>0.0</v>
      </c>
      <c r="F61" s="36">
        <v>42.0</v>
      </c>
      <c r="G61" s="36">
        <v>9.0</v>
      </c>
      <c r="H61" s="36">
        <v>82.0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6">
        <v>60.0</v>
      </c>
      <c r="B62" s="37" t="s">
        <v>106</v>
      </c>
      <c r="C62" s="36">
        <v>11.0</v>
      </c>
      <c r="D62" s="36">
        <v>24.0</v>
      </c>
      <c r="E62" s="36">
        <v>0.0</v>
      </c>
      <c r="F62" s="36">
        <v>11.0</v>
      </c>
      <c r="G62" s="36">
        <v>1.0</v>
      </c>
      <c r="H62" s="36">
        <v>12.0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6">
        <v>61.0</v>
      </c>
      <c r="B63" s="37" t="s">
        <v>56</v>
      </c>
      <c r="C63" s="36">
        <v>10.0</v>
      </c>
      <c r="D63" s="36">
        <v>5.0</v>
      </c>
      <c r="E63" s="36">
        <v>1.0</v>
      </c>
      <c r="F63" s="36">
        <v>3.0</v>
      </c>
      <c r="G63" s="36">
        <v>0.0</v>
      </c>
      <c r="H63" s="36">
        <v>1.0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6">
        <v>62.0</v>
      </c>
      <c r="B64" s="37" t="s">
        <v>107</v>
      </c>
      <c r="C64" s="36">
        <v>10.0</v>
      </c>
      <c r="D64" s="36">
        <v>14.0</v>
      </c>
      <c r="E64" s="36">
        <v>0.0</v>
      </c>
      <c r="F64" s="36">
        <v>8.0</v>
      </c>
      <c r="G64" s="36">
        <v>0.0</v>
      </c>
      <c r="H64" s="36">
        <v>6.0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6">
        <v>63.0</v>
      </c>
      <c r="B65" s="37" t="s">
        <v>108</v>
      </c>
      <c r="C65" s="36">
        <v>10.0</v>
      </c>
      <c r="D65" s="36">
        <v>16.0</v>
      </c>
      <c r="E65" s="36">
        <v>0.0</v>
      </c>
      <c r="F65" s="36">
        <v>8.0</v>
      </c>
      <c r="G65" s="36">
        <v>1.0</v>
      </c>
      <c r="H65" s="36">
        <v>7.0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6">
        <v>64.0</v>
      </c>
      <c r="B66" s="37" t="s">
        <v>109</v>
      </c>
      <c r="C66" s="36">
        <v>10.0</v>
      </c>
      <c r="D66" s="36">
        <v>7.0</v>
      </c>
      <c r="E66" s="36">
        <v>1.0</v>
      </c>
      <c r="F66" s="36">
        <v>3.0</v>
      </c>
      <c r="G66" s="36">
        <v>1.0</v>
      </c>
      <c r="H66" s="36">
        <v>2.0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6">
        <v>65.0</v>
      </c>
      <c r="B67" s="37" t="s">
        <v>110</v>
      </c>
      <c r="C67" s="36">
        <v>10.0</v>
      </c>
      <c r="D67" s="36">
        <v>10.0</v>
      </c>
      <c r="E67" s="36">
        <v>0.0</v>
      </c>
      <c r="F67" s="36">
        <v>6.0</v>
      </c>
      <c r="G67" s="36">
        <v>1.0</v>
      </c>
      <c r="H67" s="36">
        <v>3.0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6">
        <v>66.0</v>
      </c>
      <c r="B68" s="37" t="s">
        <v>60</v>
      </c>
      <c r="C68" s="36">
        <v>10.0</v>
      </c>
      <c r="D68" s="36">
        <v>5.0</v>
      </c>
      <c r="E68" s="36">
        <v>0.0</v>
      </c>
      <c r="F68" s="36">
        <v>5.0</v>
      </c>
      <c r="G68" s="36">
        <v>0.0</v>
      </c>
      <c r="H68" s="36">
        <v>0.0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8">
        <v>67.0</v>
      </c>
      <c r="B69" s="39" t="s">
        <v>111</v>
      </c>
      <c r="C69" s="38">
        <v>9.0</v>
      </c>
      <c r="D69" s="38">
        <v>3.0</v>
      </c>
      <c r="E69" s="38">
        <v>1.0</v>
      </c>
      <c r="F69" s="38">
        <v>2.0</v>
      </c>
      <c r="G69" s="38">
        <v>0.0</v>
      </c>
      <c r="H69" s="38">
        <v>0.0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8">
        <v>68.0</v>
      </c>
      <c r="B70" s="39" t="s">
        <v>112</v>
      </c>
      <c r="C70" s="38">
        <v>9.0</v>
      </c>
      <c r="D70" s="38">
        <v>6.0</v>
      </c>
      <c r="E70" s="38">
        <v>0.0</v>
      </c>
      <c r="F70" s="38">
        <v>5.0</v>
      </c>
      <c r="G70" s="38">
        <v>0.0</v>
      </c>
      <c r="H70" s="38">
        <v>1.0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8">
        <v>69.0</v>
      </c>
      <c r="B71" s="39" t="s">
        <v>113</v>
      </c>
      <c r="C71" s="38">
        <v>9.0</v>
      </c>
      <c r="D71" s="38">
        <v>15.0</v>
      </c>
      <c r="E71" s="38">
        <v>0.0</v>
      </c>
      <c r="F71" s="38">
        <v>6.0</v>
      </c>
      <c r="G71" s="38">
        <v>3.0</v>
      </c>
      <c r="H71" s="38">
        <v>6.0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8">
        <v>70.0</v>
      </c>
      <c r="B72" s="39" t="s">
        <v>114</v>
      </c>
      <c r="C72" s="38">
        <v>9.0</v>
      </c>
      <c r="D72" s="38">
        <v>67.0</v>
      </c>
      <c r="E72" s="38">
        <v>1.0</v>
      </c>
      <c r="F72" s="38">
        <v>18.0</v>
      </c>
      <c r="G72" s="38">
        <v>8.0</v>
      </c>
      <c r="H72" s="38">
        <v>40.0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8">
        <v>71.0</v>
      </c>
      <c r="B73" s="39" t="s">
        <v>115</v>
      </c>
      <c r="C73" s="38">
        <v>9.0</v>
      </c>
      <c r="D73" s="38">
        <v>10.0</v>
      </c>
      <c r="E73" s="38">
        <v>0.0</v>
      </c>
      <c r="F73" s="38">
        <v>5.0</v>
      </c>
      <c r="G73" s="38">
        <v>2.0</v>
      </c>
      <c r="H73" s="38">
        <v>3.0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8">
        <v>72.0</v>
      </c>
      <c r="B74" s="39" t="s">
        <v>116</v>
      </c>
      <c r="C74" s="38">
        <v>9.0</v>
      </c>
      <c r="D74" s="38">
        <v>11.0</v>
      </c>
      <c r="E74" s="38">
        <v>0.0</v>
      </c>
      <c r="F74" s="38">
        <v>6.0</v>
      </c>
      <c r="G74" s="38">
        <v>1.0</v>
      </c>
      <c r="H74" s="38">
        <v>4.0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8">
        <v>73.0</v>
      </c>
      <c r="B75" s="39" t="s">
        <v>117</v>
      </c>
      <c r="C75" s="38">
        <v>9.0</v>
      </c>
      <c r="D75" s="38">
        <v>3.0</v>
      </c>
      <c r="E75" s="38">
        <v>1.0</v>
      </c>
      <c r="F75" s="38">
        <v>2.0</v>
      </c>
      <c r="G75" s="38">
        <v>0.0</v>
      </c>
      <c r="H75" s="38">
        <v>0.0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8">
        <v>74.0</v>
      </c>
      <c r="B76" s="39" t="s">
        <v>118</v>
      </c>
      <c r="C76" s="38">
        <v>9.0</v>
      </c>
      <c r="D76" s="38">
        <v>5.0</v>
      </c>
      <c r="E76" s="38">
        <v>0.0</v>
      </c>
      <c r="F76" s="38">
        <v>4.0</v>
      </c>
      <c r="G76" s="38">
        <v>1.0</v>
      </c>
      <c r="H76" s="38">
        <v>0.0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8">
        <v>75.0</v>
      </c>
      <c r="B77" s="39" t="s">
        <v>119</v>
      </c>
      <c r="C77" s="38">
        <v>8.0</v>
      </c>
      <c r="D77" s="38">
        <v>4.0</v>
      </c>
      <c r="E77" s="38">
        <v>0.0</v>
      </c>
      <c r="F77" s="38">
        <v>4.0</v>
      </c>
      <c r="G77" s="38">
        <v>0.0</v>
      </c>
      <c r="H77" s="38">
        <v>0.0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8">
        <v>76.0</v>
      </c>
      <c r="B78" s="39" t="s">
        <v>120</v>
      </c>
      <c r="C78" s="38">
        <v>8.0</v>
      </c>
      <c r="D78" s="38">
        <v>17.0</v>
      </c>
      <c r="E78" s="38">
        <v>0.0</v>
      </c>
      <c r="F78" s="38">
        <v>7.0</v>
      </c>
      <c r="G78" s="38">
        <v>2.0</v>
      </c>
      <c r="H78" s="38">
        <v>8.0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8">
        <v>77.0</v>
      </c>
      <c r="B79" s="39" t="s">
        <v>121</v>
      </c>
      <c r="C79" s="38">
        <v>8.0</v>
      </c>
      <c r="D79" s="38">
        <v>10.0</v>
      </c>
      <c r="E79" s="38">
        <v>0.0</v>
      </c>
      <c r="F79" s="38">
        <v>6.0</v>
      </c>
      <c r="G79" s="38">
        <v>0.0</v>
      </c>
      <c r="H79" s="38">
        <v>4.0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8">
        <v>78.0</v>
      </c>
      <c r="B80" s="39" t="s">
        <v>122</v>
      </c>
      <c r="C80" s="38">
        <v>8.0</v>
      </c>
      <c r="D80" s="38">
        <v>4.0</v>
      </c>
      <c r="E80" s="38">
        <v>0.0</v>
      </c>
      <c r="F80" s="38">
        <v>4.0</v>
      </c>
      <c r="G80" s="38">
        <v>0.0</v>
      </c>
      <c r="H80" s="38">
        <v>0.0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8">
        <v>79.0</v>
      </c>
      <c r="B81" s="39" t="s">
        <v>123</v>
      </c>
      <c r="C81" s="38">
        <v>8.0</v>
      </c>
      <c r="D81" s="38">
        <v>5.0</v>
      </c>
      <c r="E81" s="38">
        <v>0.0</v>
      </c>
      <c r="F81" s="38">
        <v>3.0</v>
      </c>
      <c r="G81" s="38">
        <v>2.0</v>
      </c>
      <c r="H81" s="38">
        <v>0.0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8">
        <v>80.0</v>
      </c>
      <c r="B82" s="39" t="s">
        <v>124</v>
      </c>
      <c r="C82" s="38">
        <v>8.0</v>
      </c>
      <c r="D82" s="38">
        <v>10.0</v>
      </c>
      <c r="E82" s="38">
        <v>0.0</v>
      </c>
      <c r="F82" s="38">
        <v>4.0</v>
      </c>
      <c r="G82" s="38">
        <v>3.0</v>
      </c>
      <c r="H82" s="38">
        <v>3.0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8">
        <v>81.0</v>
      </c>
      <c r="B83" s="39" t="s">
        <v>125</v>
      </c>
      <c r="C83" s="38">
        <v>8.0</v>
      </c>
      <c r="D83" s="38">
        <v>30.0</v>
      </c>
      <c r="E83" s="38">
        <v>0.0</v>
      </c>
      <c r="F83" s="38">
        <v>12.0</v>
      </c>
      <c r="G83" s="38">
        <v>1.0</v>
      </c>
      <c r="H83" s="38">
        <v>17.0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8">
        <v>82.0</v>
      </c>
      <c r="B84" s="39" t="s">
        <v>25</v>
      </c>
      <c r="C84" s="38">
        <v>8.0</v>
      </c>
      <c r="D84" s="38">
        <v>4.0</v>
      </c>
      <c r="E84" s="38">
        <v>0.0</v>
      </c>
      <c r="F84" s="38">
        <v>4.0</v>
      </c>
      <c r="G84" s="38">
        <v>0.0</v>
      </c>
      <c r="H84" s="38">
        <v>0.0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8">
        <v>83.0</v>
      </c>
      <c r="B85" s="39" t="s">
        <v>126</v>
      </c>
      <c r="C85" s="38">
        <v>8.0</v>
      </c>
      <c r="D85" s="38">
        <v>7.0</v>
      </c>
      <c r="E85" s="38">
        <v>0.0</v>
      </c>
      <c r="F85" s="38">
        <v>5.0</v>
      </c>
      <c r="G85" s="38">
        <v>0.0</v>
      </c>
      <c r="H85" s="38">
        <v>2.0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8">
        <v>84.0</v>
      </c>
      <c r="B86" s="39" t="s">
        <v>127</v>
      </c>
      <c r="C86" s="38">
        <v>8.0</v>
      </c>
      <c r="D86" s="38">
        <v>10.0</v>
      </c>
      <c r="E86" s="38">
        <v>0.0</v>
      </c>
      <c r="F86" s="38">
        <v>6.0</v>
      </c>
      <c r="G86" s="38">
        <v>0.0</v>
      </c>
      <c r="H86" s="38">
        <v>4.0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8">
        <v>85.0</v>
      </c>
      <c r="B87" s="39" t="s">
        <v>128</v>
      </c>
      <c r="C87" s="38">
        <v>7.0</v>
      </c>
      <c r="D87" s="38">
        <v>4.0</v>
      </c>
      <c r="E87" s="38">
        <v>0.0</v>
      </c>
      <c r="F87" s="38">
        <v>3.0</v>
      </c>
      <c r="G87" s="38">
        <v>1.0</v>
      </c>
      <c r="H87" s="38">
        <v>0.0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8">
        <v>86.0</v>
      </c>
      <c r="B88" s="39" t="s">
        <v>129</v>
      </c>
      <c r="C88" s="38">
        <v>7.0</v>
      </c>
      <c r="D88" s="38">
        <v>6.0</v>
      </c>
      <c r="E88" s="38">
        <v>0.0</v>
      </c>
      <c r="F88" s="38">
        <v>3.0</v>
      </c>
      <c r="G88" s="38">
        <v>2.0</v>
      </c>
      <c r="H88" s="38">
        <v>1.0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8">
        <v>87.0</v>
      </c>
      <c r="B89" s="39" t="s">
        <v>27</v>
      </c>
      <c r="C89" s="38">
        <v>7.0</v>
      </c>
      <c r="D89" s="38">
        <v>4.0</v>
      </c>
      <c r="E89" s="38">
        <v>0.0</v>
      </c>
      <c r="F89" s="38">
        <v>3.0</v>
      </c>
      <c r="G89" s="38">
        <v>1.0</v>
      </c>
      <c r="H89" s="38">
        <v>0.0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8">
        <v>88.0</v>
      </c>
      <c r="B90" s="39" t="s">
        <v>130</v>
      </c>
      <c r="C90" s="38">
        <v>7.0</v>
      </c>
      <c r="D90" s="38">
        <v>8.0</v>
      </c>
      <c r="E90" s="38">
        <v>0.0</v>
      </c>
      <c r="F90" s="38">
        <v>5.0</v>
      </c>
      <c r="G90" s="38">
        <v>0.0</v>
      </c>
      <c r="H90" s="38">
        <v>3.0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8">
        <v>89.0</v>
      </c>
      <c r="B91" s="39" t="s">
        <v>62</v>
      </c>
      <c r="C91" s="38">
        <v>7.0</v>
      </c>
      <c r="D91" s="38">
        <v>7.0</v>
      </c>
      <c r="E91" s="38">
        <v>0.0</v>
      </c>
      <c r="F91" s="38">
        <v>4.0</v>
      </c>
      <c r="G91" s="38">
        <v>1.0</v>
      </c>
      <c r="H91" s="38">
        <v>2.0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8">
        <v>90.0</v>
      </c>
      <c r="B92" s="39" t="s">
        <v>131</v>
      </c>
      <c r="C92" s="38">
        <v>7.0</v>
      </c>
      <c r="D92" s="38">
        <v>5.0</v>
      </c>
      <c r="E92" s="38">
        <v>0.0</v>
      </c>
      <c r="F92" s="38">
        <v>4.0</v>
      </c>
      <c r="G92" s="38">
        <v>0.0</v>
      </c>
      <c r="H92" s="38">
        <v>1.0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8">
        <v>91.0</v>
      </c>
      <c r="B93" s="39" t="s">
        <v>132</v>
      </c>
      <c r="C93" s="38">
        <v>7.0</v>
      </c>
      <c r="D93" s="38">
        <v>9.0</v>
      </c>
      <c r="E93" s="38">
        <v>0.0</v>
      </c>
      <c r="F93" s="38">
        <v>4.0</v>
      </c>
      <c r="G93" s="38">
        <v>2.0</v>
      </c>
      <c r="H93" s="38">
        <v>3.0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8">
        <v>92.0</v>
      </c>
      <c r="B94" s="39" t="s">
        <v>133</v>
      </c>
      <c r="C94" s="38">
        <v>7.0</v>
      </c>
      <c r="D94" s="38">
        <v>8.0</v>
      </c>
      <c r="E94" s="38">
        <v>0.0</v>
      </c>
      <c r="F94" s="38">
        <v>3.0</v>
      </c>
      <c r="G94" s="38">
        <v>3.0</v>
      </c>
      <c r="H94" s="38">
        <v>2.0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8">
        <v>93.0</v>
      </c>
      <c r="B95" s="39" t="s">
        <v>26</v>
      </c>
      <c r="C95" s="38">
        <v>7.0</v>
      </c>
      <c r="D95" s="38">
        <v>6.0</v>
      </c>
      <c r="E95" s="38">
        <v>0.0</v>
      </c>
      <c r="F95" s="38">
        <v>3.0</v>
      </c>
      <c r="G95" s="38">
        <v>2.0</v>
      </c>
      <c r="H95" s="38">
        <v>1.0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8">
        <v>94.0</v>
      </c>
      <c r="B96" s="39" t="s">
        <v>134</v>
      </c>
      <c r="C96" s="38">
        <v>7.0</v>
      </c>
      <c r="D96" s="38">
        <v>2.0</v>
      </c>
      <c r="E96" s="38">
        <v>1.0</v>
      </c>
      <c r="F96" s="38">
        <v>1.0</v>
      </c>
      <c r="G96" s="38">
        <v>0.0</v>
      </c>
      <c r="H96" s="38">
        <v>0.0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8">
        <v>95.0</v>
      </c>
      <c r="B97" s="39" t="s">
        <v>135</v>
      </c>
      <c r="C97" s="38">
        <v>7.0</v>
      </c>
      <c r="D97" s="38">
        <v>41.0</v>
      </c>
      <c r="E97" s="38">
        <v>0.0</v>
      </c>
      <c r="F97" s="38">
        <v>10.0</v>
      </c>
      <c r="G97" s="38">
        <v>9.0</v>
      </c>
      <c r="H97" s="38">
        <v>22.0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8">
        <v>96.0</v>
      </c>
      <c r="B98" s="39" t="s">
        <v>136</v>
      </c>
      <c r="C98" s="38">
        <v>7.0</v>
      </c>
      <c r="D98" s="38">
        <v>12.0</v>
      </c>
      <c r="E98" s="38">
        <v>0.0</v>
      </c>
      <c r="F98" s="38">
        <v>5.0</v>
      </c>
      <c r="G98" s="38">
        <v>2.0</v>
      </c>
      <c r="H98" s="38">
        <v>5.0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8">
        <v>97.0</v>
      </c>
      <c r="B99" s="39" t="s">
        <v>137</v>
      </c>
      <c r="C99" s="38">
        <v>7.0</v>
      </c>
      <c r="D99" s="38">
        <v>4.0</v>
      </c>
      <c r="E99" s="38">
        <v>0.0</v>
      </c>
      <c r="F99" s="38">
        <v>3.0</v>
      </c>
      <c r="G99" s="38">
        <v>1.0</v>
      </c>
      <c r="H99" s="38">
        <v>0.0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8">
        <v>98.0</v>
      </c>
      <c r="B100" s="39" t="s">
        <v>138</v>
      </c>
      <c r="C100" s="38">
        <v>7.0</v>
      </c>
      <c r="D100" s="38">
        <v>36.0</v>
      </c>
      <c r="E100" s="38">
        <v>0.0</v>
      </c>
      <c r="F100" s="38">
        <v>11.0</v>
      </c>
      <c r="G100" s="38">
        <v>5.0</v>
      </c>
      <c r="H100" s="38">
        <v>20.0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8">
        <v>99.0</v>
      </c>
      <c r="B101" s="39" t="s">
        <v>139</v>
      </c>
      <c r="C101" s="38">
        <v>7.0</v>
      </c>
      <c r="D101" s="38">
        <v>8.0</v>
      </c>
      <c r="E101" s="38">
        <v>1.0</v>
      </c>
      <c r="F101" s="38">
        <v>3.0</v>
      </c>
      <c r="G101" s="38">
        <v>0.0</v>
      </c>
      <c r="H101" s="38">
        <v>4.0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8">
        <v>100.0</v>
      </c>
      <c r="B102" s="39" t="s">
        <v>140</v>
      </c>
      <c r="C102" s="38">
        <v>7.0</v>
      </c>
      <c r="D102" s="38">
        <v>4.0</v>
      </c>
      <c r="E102" s="38">
        <v>0.0</v>
      </c>
      <c r="F102" s="38">
        <v>3.0</v>
      </c>
      <c r="G102" s="38">
        <v>1.0</v>
      </c>
      <c r="H102" s="38">
        <v>0.0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8">
        <v>101.0</v>
      </c>
      <c r="B103" s="39" t="s">
        <v>141</v>
      </c>
      <c r="C103" s="38">
        <v>6.0</v>
      </c>
      <c r="D103" s="38">
        <v>5.0</v>
      </c>
      <c r="E103" s="38">
        <v>0.0</v>
      </c>
      <c r="F103" s="38">
        <v>3.0</v>
      </c>
      <c r="G103" s="38">
        <v>1.0</v>
      </c>
      <c r="H103" s="38">
        <v>1.0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8">
        <v>102.0</v>
      </c>
      <c r="B104" s="39" t="s">
        <v>142</v>
      </c>
      <c r="C104" s="38">
        <v>6.0</v>
      </c>
      <c r="D104" s="38">
        <v>3.0</v>
      </c>
      <c r="E104" s="38">
        <v>0.0</v>
      </c>
      <c r="F104" s="38">
        <v>3.0</v>
      </c>
      <c r="G104" s="38">
        <v>0.0</v>
      </c>
      <c r="H104" s="38">
        <v>0.0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8">
        <v>103.0</v>
      </c>
      <c r="B105" s="39" t="s">
        <v>143</v>
      </c>
      <c r="C105" s="38">
        <v>6.0</v>
      </c>
      <c r="D105" s="38">
        <v>3.0</v>
      </c>
      <c r="E105" s="38">
        <v>0.0</v>
      </c>
      <c r="F105" s="38">
        <v>3.0</v>
      </c>
      <c r="G105" s="38">
        <v>0.0</v>
      </c>
      <c r="H105" s="38">
        <v>0.0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8">
        <v>104.0</v>
      </c>
      <c r="B106" s="39" t="s">
        <v>144</v>
      </c>
      <c r="C106" s="38">
        <v>6.0</v>
      </c>
      <c r="D106" s="38">
        <v>3.0</v>
      </c>
      <c r="E106" s="38">
        <v>0.0</v>
      </c>
      <c r="F106" s="38">
        <v>3.0</v>
      </c>
      <c r="G106" s="38">
        <v>0.0</v>
      </c>
      <c r="H106" s="38">
        <v>0.0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8">
        <v>105.0</v>
      </c>
      <c r="B107" s="40" t="s">
        <v>145</v>
      </c>
      <c r="C107" s="38">
        <v>6.0</v>
      </c>
      <c r="D107" s="38">
        <v>5.0</v>
      </c>
      <c r="E107" s="38">
        <v>0.0</v>
      </c>
      <c r="F107" s="38">
        <v>3.0</v>
      </c>
      <c r="G107" s="38">
        <v>1.0</v>
      </c>
      <c r="H107" s="38">
        <v>1.0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8">
        <v>106.0</v>
      </c>
      <c r="B108" s="39" t="s">
        <v>146</v>
      </c>
      <c r="C108" s="38">
        <v>6.0</v>
      </c>
      <c r="D108" s="38">
        <v>4.0</v>
      </c>
      <c r="E108" s="38">
        <v>0.0</v>
      </c>
      <c r="F108" s="38">
        <v>2.0</v>
      </c>
      <c r="G108" s="38">
        <v>2.0</v>
      </c>
      <c r="H108" s="38">
        <v>0.0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8">
        <v>107.0</v>
      </c>
      <c r="B109" s="39" t="s">
        <v>147</v>
      </c>
      <c r="C109" s="38">
        <v>6.0</v>
      </c>
      <c r="D109" s="38">
        <v>7.0</v>
      </c>
      <c r="E109" s="38">
        <v>0.0</v>
      </c>
      <c r="F109" s="38">
        <v>3.0</v>
      </c>
      <c r="G109" s="38">
        <v>2.0</v>
      </c>
      <c r="H109" s="38">
        <v>2.0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8">
        <v>108.0</v>
      </c>
      <c r="B110" s="39" t="s">
        <v>148</v>
      </c>
      <c r="C110" s="38">
        <v>6.0</v>
      </c>
      <c r="D110" s="38">
        <v>6.0</v>
      </c>
      <c r="E110" s="38">
        <v>0.0</v>
      </c>
      <c r="F110" s="38">
        <v>4.0</v>
      </c>
      <c r="G110" s="38">
        <v>0.0</v>
      </c>
      <c r="H110" s="38">
        <v>2.0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8">
        <v>109.0</v>
      </c>
      <c r="B111" s="39" t="s">
        <v>149</v>
      </c>
      <c r="C111" s="38">
        <v>6.0</v>
      </c>
      <c r="D111" s="38">
        <v>8.0</v>
      </c>
      <c r="E111" s="38">
        <v>0.0</v>
      </c>
      <c r="F111" s="38">
        <v>4.0</v>
      </c>
      <c r="G111" s="38">
        <v>1.0</v>
      </c>
      <c r="H111" s="38">
        <v>3.0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8">
        <v>110.0</v>
      </c>
      <c r="B112" s="39" t="s">
        <v>150</v>
      </c>
      <c r="C112" s="38">
        <v>6.0</v>
      </c>
      <c r="D112" s="38">
        <v>14.0</v>
      </c>
      <c r="E112" s="38">
        <v>0.0</v>
      </c>
      <c r="F112" s="38">
        <v>6.0</v>
      </c>
      <c r="G112" s="38">
        <v>1.0</v>
      </c>
      <c r="H112" s="38">
        <v>7.0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8">
        <v>111.0</v>
      </c>
      <c r="B113" s="39" t="s">
        <v>151</v>
      </c>
      <c r="C113" s="38">
        <v>6.0</v>
      </c>
      <c r="D113" s="38">
        <v>3.0</v>
      </c>
      <c r="E113" s="38">
        <v>0.0</v>
      </c>
      <c r="F113" s="38">
        <v>3.0</v>
      </c>
      <c r="G113" s="38">
        <v>0.0</v>
      </c>
      <c r="H113" s="38">
        <v>0.0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8">
        <v>112.0</v>
      </c>
      <c r="B114" s="39" t="s">
        <v>152</v>
      </c>
      <c r="C114" s="38">
        <v>6.0</v>
      </c>
      <c r="D114" s="38">
        <v>3.0</v>
      </c>
      <c r="E114" s="38">
        <v>0.0</v>
      </c>
      <c r="F114" s="38">
        <v>3.0</v>
      </c>
      <c r="G114" s="38">
        <v>0.0</v>
      </c>
      <c r="H114" s="38">
        <v>0.0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8">
        <v>113.0</v>
      </c>
      <c r="B115" s="39" t="s">
        <v>153</v>
      </c>
      <c r="C115" s="38">
        <v>6.0</v>
      </c>
      <c r="D115" s="38">
        <v>5.0</v>
      </c>
      <c r="E115" s="38">
        <v>0.0</v>
      </c>
      <c r="F115" s="38">
        <v>3.0</v>
      </c>
      <c r="G115" s="38">
        <v>1.0</v>
      </c>
      <c r="H115" s="38">
        <v>1.0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8">
        <v>114.0</v>
      </c>
      <c r="B116" s="39" t="s">
        <v>154</v>
      </c>
      <c r="C116" s="38">
        <v>6.0</v>
      </c>
      <c r="D116" s="38">
        <v>3.0</v>
      </c>
      <c r="E116" s="38">
        <v>0.0</v>
      </c>
      <c r="F116" s="38">
        <v>3.0</v>
      </c>
      <c r="G116" s="38">
        <v>0.0</v>
      </c>
      <c r="H116" s="38">
        <v>0.0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8">
        <v>115.0</v>
      </c>
      <c r="B117" s="39" t="s">
        <v>155</v>
      </c>
      <c r="C117" s="38">
        <v>6.0</v>
      </c>
      <c r="D117" s="38">
        <v>34.0</v>
      </c>
      <c r="E117" s="38">
        <v>0.0</v>
      </c>
      <c r="F117" s="38">
        <v>12.0</v>
      </c>
      <c r="G117" s="38">
        <v>2.0</v>
      </c>
      <c r="H117" s="38">
        <v>20.0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8">
        <v>116.0</v>
      </c>
      <c r="B118" s="39" t="s">
        <v>156</v>
      </c>
      <c r="C118" s="38">
        <v>6.0</v>
      </c>
      <c r="D118" s="38">
        <v>6.0</v>
      </c>
      <c r="E118" s="38">
        <v>0.0</v>
      </c>
      <c r="F118" s="38">
        <v>4.0</v>
      </c>
      <c r="G118" s="38">
        <v>0.0</v>
      </c>
      <c r="H118" s="38">
        <v>2.0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8">
        <v>117.0</v>
      </c>
      <c r="B119" s="39" t="s">
        <v>157</v>
      </c>
      <c r="C119" s="38">
        <v>6.0</v>
      </c>
      <c r="D119" s="38">
        <v>3.0</v>
      </c>
      <c r="E119" s="38">
        <v>0.0</v>
      </c>
      <c r="F119" s="38">
        <v>3.0</v>
      </c>
      <c r="G119" s="38">
        <v>0.0</v>
      </c>
      <c r="H119" s="38">
        <v>0.0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8">
        <v>118.0</v>
      </c>
      <c r="B120" s="39" t="s">
        <v>158</v>
      </c>
      <c r="C120" s="38">
        <v>6.0</v>
      </c>
      <c r="D120" s="38">
        <v>6.0</v>
      </c>
      <c r="E120" s="38">
        <v>0.0</v>
      </c>
      <c r="F120" s="38">
        <v>4.0</v>
      </c>
      <c r="G120" s="38">
        <v>0.0</v>
      </c>
      <c r="H120" s="38">
        <v>2.0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8">
        <v>119.0</v>
      </c>
      <c r="B121" s="39" t="s">
        <v>159</v>
      </c>
      <c r="C121" s="38">
        <v>6.0</v>
      </c>
      <c r="D121" s="38">
        <v>9.0</v>
      </c>
      <c r="E121" s="38">
        <v>1.0</v>
      </c>
      <c r="F121" s="38">
        <v>3.0</v>
      </c>
      <c r="G121" s="38">
        <v>0.0</v>
      </c>
      <c r="H121" s="38">
        <v>5.0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8">
        <v>120.0</v>
      </c>
      <c r="B122" s="39" t="s">
        <v>160</v>
      </c>
      <c r="C122" s="38">
        <v>6.0</v>
      </c>
      <c r="D122" s="38">
        <v>4.0</v>
      </c>
      <c r="E122" s="38">
        <v>0.0</v>
      </c>
      <c r="F122" s="38">
        <v>2.0</v>
      </c>
      <c r="G122" s="38">
        <v>2.0</v>
      </c>
      <c r="H122" s="38">
        <v>0.0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8">
        <v>121.0</v>
      </c>
      <c r="B123" s="39" t="s">
        <v>161</v>
      </c>
      <c r="C123" s="38">
        <v>6.0</v>
      </c>
      <c r="D123" s="38">
        <v>19.0</v>
      </c>
      <c r="E123" s="38">
        <v>0.0</v>
      </c>
      <c r="F123" s="38">
        <v>7.0</v>
      </c>
      <c r="G123" s="38">
        <v>2.0</v>
      </c>
      <c r="H123" s="38">
        <v>10.0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8">
        <v>122.0</v>
      </c>
      <c r="B124" s="39" t="s">
        <v>162</v>
      </c>
      <c r="C124" s="38">
        <v>6.0</v>
      </c>
      <c r="D124" s="38">
        <v>3.0</v>
      </c>
      <c r="E124" s="38">
        <v>0.0</v>
      </c>
      <c r="F124" s="38">
        <v>3.0</v>
      </c>
      <c r="G124" s="38">
        <v>0.0</v>
      </c>
      <c r="H124" s="38">
        <v>0.0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8">
        <v>123.0</v>
      </c>
      <c r="B125" s="39" t="s">
        <v>163</v>
      </c>
      <c r="C125" s="38">
        <v>5.0</v>
      </c>
      <c r="D125" s="38">
        <v>4.0</v>
      </c>
      <c r="E125" s="38">
        <v>0.0</v>
      </c>
      <c r="F125" s="38">
        <v>3.0</v>
      </c>
      <c r="G125" s="38">
        <v>0.0</v>
      </c>
      <c r="H125" s="38">
        <v>1.0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8">
        <v>124.0</v>
      </c>
      <c r="B126" s="39" t="s">
        <v>164</v>
      </c>
      <c r="C126" s="38">
        <v>5.0</v>
      </c>
      <c r="D126" s="38">
        <v>14.0</v>
      </c>
      <c r="E126" s="38">
        <v>0.0</v>
      </c>
      <c r="F126" s="38">
        <v>3.0</v>
      </c>
      <c r="G126" s="38">
        <v>5.0</v>
      </c>
      <c r="H126" s="38">
        <v>6.0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8">
        <v>125.0</v>
      </c>
      <c r="B127" s="39" t="s">
        <v>165</v>
      </c>
      <c r="C127" s="38">
        <v>5.0</v>
      </c>
      <c r="D127" s="38">
        <v>44.0</v>
      </c>
      <c r="E127" s="38">
        <v>0.0</v>
      </c>
      <c r="F127" s="38">
        <v>15.0</v>
      </c>
      <c r="G127" s="38">
        <v>2.0</v>
      </c>
      <c r="H127" s="38">
        <v>27.0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8">
        <v>126.0</v>
      </c>
      <c r="B128" s="39" t="s">
        <v>166</v>
      </c>
      <c r="C128" s="38">
        <v>5.0</v>
      </c>
      <c r="D128" s="38">
        <v>4.0</v>
      </c>
      <c r="E128" s="38">
        <v>0.0</v>
      </c>
      <c r="F128" s="38">
        <v>3.0</v>
      </c>
      <c r="G128" s="38">
        <v>0.0</v>
      </c>
      <c r="H128" s="38">
        <v>1.0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8">
        <v>127.0</v>
      </c>
      <c r="B129" s="39" t="s">
        <v>167</v>
      </c>
      <c r="C129" s="38">
        <v>5.0</v>
      </c>
      <c r="D129" s="38">
        <v>4.0</v>
      </c>
      <c r="E129" s="38">
        <v>0.0</v>
      </c>
      <c r="F129" s="38">
        <v>3.0</v>
      </c>
      <c r="G129" s="38">
        <v>0.0</v>
      </c>
      <c r="H129" s="38">
        <v>1.0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8">
        <v>128.0</v>
      </c>
      <c r="B130" s="39" t="s">
        <v>168</v>
      </c>
      <c r="C130" s="38">
        <v>5.0</v>
      </c>
      <c r="D130" s="38">
        <v>4.0</v>
      </c>
      <c r="E130" s="38">
        <v>0.0</v>
      </c>
      <c r="F130" s="38">
        <v>3.0</v>
      </c>
      <c r="G130" s="38">
        <v>0.0</v>
      </c>
      <c r="H130" s="38">
        <v>1.0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8">
        <v>129.0</v>
      </c>
      <c r="B131" s="39" t="s">
        <v>28</v>
      </c>
      <c r="C131" s="38">
        <v>5.0</v>
      </c>
      <c r="D131" s="38">
        <v>16.0</v>
      </c>
      <c r="E131" s="38">
        <v>0.0</v>
      </c>
      <c r="F131" s="38">
        <v>5.0</v>
      </c>
      <c r="G131" s="38">
        <v>3.0</v>
      </c>
      <c r="H131" s="38">
        <v>8.0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8">
        <v>130.0</v>
      </c>
      <c r="B132" s="39" t="s">
        <v>169</v>
      </c>
      <c r="C132" s="38">
        <v>5.0</v>
      </c>
      <c r="D132" s="38">
        <v>7.0</v>
      </c>
      <c r="E132" s="38">
        <v>0.0</v>
      </c>
      <c r="F132" s="38">
        <v>4.0</v>
      </c>
      <c r="G132" s="38">
        <v>0.0</v>
      </c>
      <c r="H132" s="38">
        <v>3.0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8">
        <v>131.0</v>
      </c>
      <c r="B133" s="39" t="s">
        <v>170</v>
      </c>
      <c r="C133" s="38">
        <v>5.0</v>
      </c>
      <c r="D133" s="38">
        <v>6.0</v>
      </c>
      <c r="E133" s="38">
        <v>0.0</v>
      </c>
      <c r="F133" s="38">
        <v>3.0</v>
      </c>
      <c r="G133" s="38">
        <v>1.0</v>
      </c>
      <c r="H133" s="38">
        <v>2.0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8">
        <v>132.0</v>
      </c>
      <c r="B134" s="39" t="s">
        <v>171</v>
      </c>
      <c r="C134" s="38">
        <v>5.0</v>
      </c>
      <c r="D134" s="38">
        <v>3.0</v>
      </c>
      <c r="E134" s="38">
        <v>0.0</v>
      </c>
      <c r="F134" s="38">
        <v>2.0</v>
      </c>
      <c r="G134" s="38">
        <v>1.0</v>
      </c>
      <c r="H134" s="38">
        <v>0.0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8">
        <v>133.0</v>
      </c>
      <c r="B135" s="39" t="s">
        <v>172</v>
      </c>
      <c r="C135" s="38">
        <v>5.0</v>
      </c>
      <c r="D135" s="38">
        <v>9.0</v>
      </c>
      <c r="E135" s="38">
        <v>0.0</v>
      </c>
      <c r="F135" s="38">
        <v>4.0</v>
      </c>
      <c r="G135" s="38">
        <v>1.0</v>
      </c>
      <c r="H135" s="38">
        <v>4.0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8">
        <v>134.0</v>
      </c>
      <c r="B136" s="39" t="s">
        <v>173</v>
      </c>
      <c r="C136" s="38">
        <v>5.0</v>
      </c>
      <c r="D136" s="38">
        <v>4.0</v>
      </c>
      <c r="E136" s="38">
        <v>0.0</v>
      </c>
      <c r="F136" s="38">
        <v>3.0</v>
      </c>
      <c r="G136" s="38">
        <v>0.0</v>
      </c>
      <c r="H136" s="38">
        <v>1.0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8">
        <v>135.0</v>
      </c>
      <c r="B137" s="39" t="s">
        <v>174</v>
      </c>
      <c r="C137" s="38">
        <v>5.0</v>
      </c>
      <c r="D137" s="38">
        <v>9.0</v>
      </c>
      <c r="E137" s="38">
        <v>0.0</v>
      </c>
      <c r="F137" s="38">
        <v>2.0</v>
      </c>
      <c r="G137" s="38">
        <v>4.0</v>
      </c>
      <c r="H137" s="38">
        <v>3.0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8">
        <v>136.0</v>
      </c>
      <c r="B138" s="39" t="s">
        <v>175</v>
      </c>
      <c r="C138" s="38">
        <v>5.0</v>
      </c>
      <c r="D138" s="38">
        <v>3.0</v>
      </c>
      <c r="E138" s="38">
        <v>0.0</v>
      </c>
      <c r="F138" s="38">
        <v>2.0</v>
      </c>
      <c r="G138" s="38">
        <v>1.0</v>
      </c>
      <c r="H138" s="38">
        <v>0.0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8">
        <v>137.0</v>
      </c>
      <c r="B139" s="39" t="s">
        <v>176</v>
      </c>
      <c r="C139" s="38">
        <v>5.0</v>
      </c>
      <c r="D139" s="38">
        <v>11.0</v>
      </c>
      <c r="E139" s="38">
        <v>0.0</v>
      </c>
      <c r="F139" s="38">
        <v>2.0</v>
      </c>
      <c r="G139" s="38">
        <v>5.0</v>
      </c>
      <c r="H139" s="38">
        <v>4.0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8">
        <v>138.0</v>
      </c>
      <c r="B140" s="39" t="s">
        <v>177</v>
      </c>
      <c r="C140" s="38">
        <v>5.0</v>
      </c>
      <c r="D140" s="38">
        <v>4.0</v>
      </c>
      <c r="E140" s="38">
        <v>0.0</v>
      </c>
      <c r="F140" s="38">
        <v>3.0</v>
      </c>
      <c r="G140" s="38">
        <v>0.0</v>
      </c>
      <c r="H140" s="38">
        <v>1.0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8">
        <v>139.0</v>
      </c>
      <c r="B141" s="39" t="s">
        <v>178</v>
      </c>
      <c r="C141" s="38">
        <v>5.0</v>
      </c>
      <c r="D141" s="38">
        <v>4.0</v>
      </c>
      <c r="E141" s="38">
        <v>0.0</v>
      </c>
      <c r="F141" s="38">
        <v>1.0</v>
      </c>
      <c r="G141" s="38">
        <v>3.0</v>
      </c>
      <c r="H141" s="38">
        <v>0.0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8">
        <v>140.0</v>
      </c>
      <c r="B142" s="39" t="s">
        <v>179</v>
      </c>
      <c r="C142" s="38">
        <v>5.0</v>
      </c>
      <c r="D142" s="38">
        <v>4.0</v>
      </c>
      <c r="E142" s="38">
        <v>0.0</v>
      </c>
      <c r="F142" s="38">
        <v>3.0</v>
      </c>
      <c r="G142" s="38">
        <v>0.0</v>
      </c>
      <c r="H142" s="38">
        <v>1.0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8">
        <v>141.0</v>
      </c>
      <c r="B143" s="39" t="s">
        <v>64</v>
      </c>
      <c r="C143" s="38">
        <v>5.0</v>
      </c>
      <c r="D143" s="38">
        <v>3.0</v>
      </c>
      <c r="E143" s="38">
        <v>0.0</v>
      </c>
      <c r="F143" s="38">
        <v>2.0</v>
      </c>
      <c r="G143" s="38">
        <v>1.0</v>
      </c>
      <c r="H143" s="38">
        <v>0.0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8">
        <v>142.0</v>
      </c>
      <c r="B144" s="39" t="s">
        <v>180</v>
      </c>
      <c r="C144" s="38">
        <v>5.0</v>
      </c>
      <c r="D144" s="38">
        <v>3.0</v>
      </c>
      <c r="E144" s="38">
        <v>0.0</v>
      </c>
      <c r="F144" s="38">
        <v>2.0</v>
      </c>
      <c r="G144" s="38">
        <v>1.0</v>
      </c>
      <c r="H144" s="38">
        <v>0.0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8">
        <v>143.0</v>
      </c>
      <c r="B145" s="39" t="s">
        <v>181</v>
      </c>
      <c r="C145" s="38">
        <v>5.0</v>
      </c>
      <c r="D145" s="38">
        <v>4.0</v>
      </c>
      <c r="E145" s="38">
        <v>0.0</v>
      </c>
      <c r="F145" s="38">
        <v>3.0</v>
      </c>
      <c r="G145" s="38">
        <v>0.0</v>
      </c>
      <c r="H145" s="38">
        <v>1.0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8">
        <v>144.0</v>
      </c>
      <c r="B146" s="39" t="s">
        <v>182</v>
      </c>
      <c r="C146" s="38">
        <v>5.0</v>
      </c>
      <c r="D146" s="38">
        <v>4.0</v>
      </c>
      <c r="E146" s="38">
        <v>0.0</v>
      </c>
      <c r="F146" s="38">
        <v>3.0</v>
      </c>
      <c r="G146" s="38">
        <v>0.0</v>
      </c>
      <c r="H146" s="38">
        <v>1.0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8">
        <v>145.0</v>
      </c>
      <c r="B147" s="39" t="s">
        <v>183</v>
      </c>
      <c r="C147" s="38">
        <v>5.0</v>
      </c>
      <c r="D147" s="38">
        <v>7.0</v>
      </c>
      <c r="E147" s="38">
        <v>0.0</v>
      </c>
      <c r="F147" s="38">
        <v>4.0</v>
      </c>
      <c r="G147" s="38">
        <v>0.0</v>
      </c>
      <c r="H147" s="38">
        <v>3.0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8">
        <v>146.0</v>
      </c>
      <c r="B148" s="39" t="s">
        <v>184</v>
      </c>
      <c r="C148" s="38">
        <v>5.0</v>
      </c>
      <c r="D148" s="38">
        <v>10.0</v>
      </c>
      <c r="E148" s="38">
        <v>0.0</v>
      </c>
      <c r="F148" s="38">
        <v>5.0</v>
      </c>
      <c r="G148" s="38">
        <v>0.0</v>
      </c>
      <c r="H148" s="38">
        <v>5.0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8">
        <v>147.0</v>
      </c>
      <c r="B149" s="39" t="s">
        <v>185</v>
      </c>
      <c r="C149" s="38">
        <v>5.0</v>
      </c>
      <c r="D149" s="38">
        <v>4.0</v>
      </c>
      <c r="E149" s="38">
        <v>0.0</v>
      </c>
      <c r="F149" s="38">
        <v>3.0</v>
      </c>
      <c r="G149" s="38">
        <v>0.0</v>
      </c>
      <c r="H149" s="38">
        <v>1.0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8">
        <v>148.0</v>
      </c>
      <c r="B150" s="39" t="s">
        <v>186</v>
      </c>
      <c r="C150" s="38">
        <v>4.0</v>
      </c>
      <c r="D150" s="38">
        <v>2.0</v>
      </c>
      <c r="E150" s="38">
        <v>0.0</v>
      </c>
      <c r="F150" s="38">
        <v>2.0</v>
      </c>
      <c r="G150" s="38">
        <v>0.0</v>
      </c>
      <c r="H150" s="38">
        <v>0.0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8">
        <v>149.0</v>
      </c>
      <c r="B151" s="39" t="s">
        <v>187</v>
      </c>
      <c r="C151" s="38">
        <v>4.0</v>
      </c>
      <c r="D151" s="38">
        <v>5.0</v>
      </c>
      <c r="E151" s="38">
        <v>0.0</v>
      </c>
      <c r="F151" s="38">
        <v>3.0</v>
      </c>
      <c r="G151" s="38">
        <v>0.0</v>
      </c>
      <c r="H151" s="38">
        <v>2.0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8">
        <v>150.0</v>
      </c>
      <c r="B152" s="39" t="s">
        <v>188</v>
      </c>
      <c r="C152" s="38">
        <v>4.0</v>
      </c>
      <c r="D152" s="38">
        <v>51.0</v>
      </c>
      <c r="E152" s="38">
        <v>0.0</v>
      </c>
      <c r="F152" s="38">
        <v>17.0</v>
      </c>
      <c r="G152" s="38">
        <v>2.0</v>
      </c>
      <c r="H152" s="38">
        <v>32.0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8">
        <v>151.0</v>
      </c>
      <c r="B153" s="39" t="s">
        <v>189</v>
      </c>
      <c r="C153" s="38">
        <v>4.0</v>
      </c>
      <c r="D153" s="38">
        <v>2.0</v>
      </c>
      <c r="E153" s="38">
        <v>0.0</v>
      </c>
      <c r="F153" s="38">
        <v>2.0</v>
      </c>
      <c r="G153" s="38">
        <v>0.0</v>
      </c>
      <c r="H153" s="38">
        <v>0.0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8">
        <v>152.0</v>
      </c>
      <c r="B154" s="39" t="s">
        <v>190</v>
      </c>
      <c r="C154" s="38">
        <v>4.0</v>
      </c>
      <c r="D154" s="38">
        <v>2.0</v>
      </c>
      <c r="E154" s="38">
        <v>0.0</v>
      </c>
      <c r="F154" s="38">
        <v>2.0</v>
      </c>
      <c r="G154" s="38">
        <v>0.0</v>
      </c>
      <c r="H154" s="38">
        <v>0.0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8">
        <v>153.0</v>
      </c>
      <c r="B155" s="39" t="s">
        <v>191</v>
      </c>
      <c r="C155" s="38">
        <v>4.0</v>
      </c>
      <c r="D155" s="38">
        <v>4.0</v>
      </c>
      <c r="E155" s="38">
        <v>0.0</v>
      </c>
      <c r="F155" s="38">
        <v>2.0</v>
      </c>
      <c r="G155" s="38">
        <v>1.0</v>
      </c>
      <c r="H155" s="38">
        <v>1.0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8">
        <v>154.0</v>
      </c>
      <c r="B156" s="39" t="s">
        <v>192</v>
      </c>
      <c r="C156" s="38">
        <v>4.0</v>
      </c>
      <c r="D156" s="38">
        <v>2.0</v>
      </c>
      <c r="E156" s="38">
        <v>0.0</v>
      </c>
      <c r="F156" s="38">
        <v>2.0</v>
      </c>
      <c r="G156" s="38">
        <v>0.0</v>
      </c>
      <c r="H156" s="38">
        <v>0.0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8">
        <v>155.0</v>
      </c>
      <c r="B157" s="39" t="s">
        <v>193</v>
      </c>
      <c r="C157" s="38">
        <v>4.0</v>
      </c>
      <c r="D157" s="38">
        <v>2.0</v>
      </c>
      <c r="E157" s="38">
        <v>0.0</v>
      </c>
      <c r="F157" s="38">
        <v>2.0</v>
      </c>
      <c r="G157" s="38">
        <v>0.0</v>
      </c>
      <c r="H157" s="38">
        <v>0.0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8">
        <v>156.0</v>
      </c>
      <c r="B158" s="39" t="s">
        <v>194</v>
      </c>
      <c r="C158" s="38">
        <v>4.0</v>
      </c>
      <c r="D158" s="38">
        <v>2.0</v>
      </c>
      <c r="E158" s="38">
        <v>0.0</v>
      </c>
      <c r="F158" s="38">
        <v>2.0</v>
      </c>
      <c r="G158" s="38">
        <v>0.0</v>
      </c>
      <c r="H158" s="38">
        <v>0.0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8">
        <v>157.0</v>
      </c>
      <c r="B159" s="39" t="s">
        <v>195</v>
      </c>
      <c r="C159" s="38">
        <v>4.0</v>
      </c>
      <c r="D159" s="38">
        <v>2.0</v>
      </c>
      <c r="E159" s="38">
        <v>0.0</v>
      </c>
      <c r="F159" s="38">
        <v>2.0</v>
      </c>
      <c r="G159" s="38">
        <v>0.0</v>
      </c>
      <c r="H159" s="38">
        <v>0.0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8">
        <v>158.0</v>
      </c>
      <c r="B160" s="39" t="s">
        <v>196</v>
      </c>
      <c r="C160" s="38">
        <v>4.0</v>
      </c>
      <c r="D160" s="38">
        <v>5.0</v>
      </c>
      <c r="E160" s="38">
        <v>0.0</v>
      </c>
      <c r="F160" s="38">
        <v>3.0</v>
      </c>
      <c r="G160" s="38">
        <v>0.0</v>
      </c>
      <c r="H160" s="38">
        <v>2.0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8">
        <v>159.0</v>
      </c>
      <c r="B161" s="39" t="s">
        <v>197</v>
      </c>
      <c r="C161" s="38">
        <v>4.0</v>
      </c>
      <c r="D161" s="38">
        <v>2.0</v>
      </c>
      <c r="E161" s="38">
        <v>0.0</v>
      </c>
      <c r="F161" s="38">
        <v>2.0</v>
      </c>
      <c r="G161" s="38">
        <v>0.0</v>
      </c>
      <c r="H161" s="38">
        <v>0.0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8">
        <v>160.0</v>
      </c>
      <c r="B162" s="39" t="s">
        <v>198</v>
      </c>
      <c r="C162" s="38">
        <v>4.0</v>
      </c>
      <c r="D162" s="38">
        <v>4.0</v>
      </c>
      <c r="E162" s="38">
        <v>0.0</v>
      </c>
      <c r="F162" s="38">
        <v>2.0</v>
      </c>
      <c r="G162" s="38">
        <v>1.0</v>
      </c>
      <c r="H162" s="38">
        <v>1.0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8">
        <v>161.0</v>
      </c>
      <c r="B163" s="39" t="s">
        <v>199</v>
      </c>
      <c r="C163" s="38">
        <v>4.0</v>
      </c>
      <c r="D163" s="38">
        <v>2.0</v>
      </c>
      <c r="E163" s="38">
        <v>0.0</v>
      </c>
      <c r="F163" s="38">
        <v>2.0</v>
      </c>
      <c r="G163" s="38">
        <v>0.0</v>
      </c>
      <c r="H163" s="38">
        <v>0.0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8">
        <v>162.0</v>
      </c>
      <c r="B164" s="39" t="s">
        <v>200</v>
      </c>
      <c r="C164" s="38">
        <v>4.0</v>
      </c>
      <c r="D164" s="38">
        <v>32.0</v>
      </c>
      <c r="E164" s="38">
        <v>0.0</v>
      </c>
      <c r="F164" s="38">
        <v>8.0</v>
      </c>
      <c r="G164" s="38">
        <v>6.0</v>
      </c>
      <c r="H164" s="38">
        <v>18.0</v>
      </c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8">
        <v>163.0</v>
      </c>
      <c r="B165" s="39" t="s">
        <v>201</v>
      </c>
      <c r="C165" s="38">
        <v>4.0</v>
      </c>
      <c r="D165" s="38">
        <v>8.0</v>
      </c>
      <c r="E165" s="38">
        <v>0.0</v>
      </c>
      <c r="F165" s="38">
        <v>4.0</v>
      </c>
      <c r="G165" s="38">
        <v>0.0</v>
      </c>
      <c r="H165" s="38">
        <v>4.0</v>
      </c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8">
        <v>164.0</v>
      </c>
      <c r="B166" s="39" t="s">
        <v>31</v>
      </c>
      <c r="C166" s="38">
        <v>4.0</v>
      </c>
      <c r="D166" s="38">
        <v>4.0</v>
      </c>
      <c r="E166" s="38">
        <v>0.0</v>
      </c>
      <c r="F166" s="38">
        <v>2.0</v>
      </c>
      <c r="G166" s="38">
        <v>1.0</v>
      </c>
      <c r="H166" s="38">
        <v>1.0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8">
        <v>165.0</v>
      </c>
      <c r="B167" s="39" t="s">
        <v>202</v>
      </c>
      <c r="C167" s="38">
        <v>4.0</v>
      </c>
      <c r="D167" s="38">
        <v>2.0</v>
      </c>
      <c r="E167" s="38">
        <v>0.0</v>
      </c>
      <c r="F167" s="38">
        <v>2.0</v>
      </c>
      <c r="G167" s="38">
        <v>0.0</v>
      </c>
      <c r="H167" s="38">
        <v>0.0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8">
        <v>166.0</v>
      </c>
      <c r="B168" s="39" t="s">
        <v>203</v>
      </c>
      <c r="C168" s="38">
        <v>4.0</v>
      </c>
      <c r="D168" s="38">
        <v>3.0</v>
      </c>
      <c r="E168" s="38">
        <v>0.0</v>
      </c>
      <c r="F168" s="38">
        <v>1.0</v>
      </c>
      <c r="G168" s="38">
        <v>2.0</v>
      </c>
      <c r="H168" s="38">
        <v>0.0</v>
      </c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8">
        <v>167.0</v>
      </c>
      <c r="B169" s="39" t="s">
        <v>204</v>
      </c>
      <c r="C169" s="38">
        <v>4.0</v>
      </c>
      <c r="D169" s="38">
        <v>2.0</v>
      </c>
      <c r="E169" s="38">
        <v>0.0</v>
      </c>
      <c r="F169" s="38">
        <v>2.0</v>
      </c>
      <c r="G169" s="38">
        <v>0.0</v>
      </c>
      <c r="H169" s="38">
        <v>0.0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8">
        <v>168.0</v>
      </c>
      <c r="B170" s="39" t="s">
        <v>205</v>
      </c>
      <c r="C170" s="38">
        <v>4.0</v>
      </c>
      <c r="D170" s="38">
        <v>2.0</v>
      </c>
      <c r="E170" s="38">
        <v>0.0</v>
      </c>
      <c r="F170" s="38">
        <v>2.0</v>
      </c>
      <c r="G170" s="38">
        <v>0.0</v>
      </c>
      <c r="H170" s="38">
        <v>0.0</v>
      </c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8">
        <v>169.0</v>
      </c>
      <c r="B171" s="39" t="s">
        <v>206</v>
      </c>
      <c r="C171" s="38">
        <v>4.0</v>
      </c>
      <c r="D171" s="38">
        <v>2.0</v>
      </c>
      <c r="E171" s="38">
        <v>0.0</v>
      </c>
      <c r="F171" s="38">
        <v>2.0</v>
      </c>
      <c r="G171" s="38">
        <v>0.0</v>
      </c>
      <c r="H171" s="38">
        <v>0.0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8">
        <v>170.0</v>
      </c>
      <c r="B172" s="39" t="s">
        <v>207</v>
      </c>
      <c r="C172" s="38">
        <v>4.0</v>
      </c>
      <c r="D172" s="38">
        <v>2.0</v>
      </c>
      <c r="E172" s="38">
        <v>0.0</v>
      </c>
      <c r="F172" s="38">
        <v>2.0</v>
      </c>
      <c r="G172" s="38">
        <v>0.0</v>
      </c>
      <c r="H172" s="38">
        <v>0.0</v>
      </c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8">
        <v>171.0</v>
      </c>
      <c r="B173" s="39" t="s">
        <v>208</v>
      </c>
      <c r="C173" s="38">
        <v>4.0</v>
      </c>
      <c r="D173" s="38">
        <v>24.0</v>
      </c>
      <c r="E173" s="38">
        <v>0.0</v>
      </c>
      <c r="F173" s="38">
        <v>8.0</v>
      </c>
      <c r="G173" s="38">
        <v>2.0</v>
      </c>
      <c r="H173" s="38">
        <v>14.0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8">
        <v>172.0</v>
      </c>
      <c r="B174" s="39" t="s">
        <v>209</v>
      </c>
      <c r="C174" s="38">
        <v>4.0</v>
      </c>
      <c r="D174" s="38">
        <v>2.0</v>
      </c>
      <c r="E174" s="38">
        <v>0.0</v>
      </c>
      <c r="F174" s="38">
        <v>2.0</v>
      </c>
      <c r="G174" s="38">
        <v>0.0</v>
      </c>
      <c r="H174" s="38">
        <v>0.0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8">
        <v>173.0</v>
      </c>
      <c r="B175" s="39" t="s">
        <v>210</v>
      </c>
      <c r="C175" s="38">
        <v>4.0</v>
      </c>
      <c r="D175" s="38">
        <v>5.0</v>
      </c>
      <c r="E175" s="38">
        <v>0.0</v>
      </c>
      <c r="F175" s="38">
        <v>3.0</v>
      </c>
      <c r="G175" s="38">
        <v>0.0</v>
      </c>
      <c r="H175" s="38">
        <v>2.0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8">
        <v>174.0</v>
      </c>
      <c r="B176" s="39" t="s">
        <v>211</v>
      </c>
      <c r="C176" s="38">
        <v>4.0</v>
      </c>
      <c r="D176" s="38">
        <v>2.0</v>
      </c>
      <c r="E176" s="38">
        <v>0.0</v>
      </c>
      <c r="F176" s="38">
        <v>2.0</v>
      </c>
      <c r="G176" s="38">
        <v>0.0</v>
      </c>
      <c r="H176" s="38">
        <v>0.0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8">
        <v>175.0</v>
      </c>
      <c r="B177" s="39" t="s">
        <v>212</v>
      </c>
      <c r="C177" s="38">
        <v>4.0</v>
      </c>
      <c r="D177" s="38">
        <v>2.0</v>
      </c>
      <c r="E177" s="38">
        <v>0.0</v>
      </c>
      <c r="F177" s="38">
        <v>2.0</v>
      </c>
      <c r="G177" s="38">
        <v>0.0</v>
      </c>
      <c r="H177" s="38">
        <v>0.0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8">
        <v>176.0</v>
      </c>
      <c r="B178" s="39" t="s">
        <v>213</v>
      </c>
      <c r="C178" s="38">
        <v>4.0</v>
      </c>
      <c r="D178" s="38">
        <v>8.0</v>
      </c>
      <c r="E178" s="38">
        <v>0.0</v>
      </c>
      <c r="F178" s="38">
        <v>4.0</v>
      </c>
      <c r="G178" s="38">
        <v>0.0</v>
      </c>
      <c r="H178" s="38">
        <v>4.0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8">
        <v>177.0</v>
      </c>
      <c r="B179" s="39" t="s">
        <v>214</v>
      </c>
      <c r="C179" s="38">
        <v>4.0</v>
      </c>
      <c r="D179" s="38">
        <v>2.0</v>
      </c>
      <c r="E179" s="38">
        <v>0.0</v>
      </c>
      <c r="F179" s="38">
        <v>2.0</v>
      </c>
      <c r="G179" s="38">
        <v>0.0</v>
      </c>
      <c r="H179" s="38">
        <v>0.0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8">
        <v>178.0</v>
      </c>
      <c r="B180" s="39" t="s">
        <v>215</v>
      </c>
      <c r="C180" s="38">
        <v>4.0</v>
      </c>
      <c r="D180" s="38">
        <v>2.0</v>
      </c>
      <c r="E180" s="38">
        <v>0.0</v>
      </c>
      <c r="F180" s="38">
        <v>2.0</v>
      </c>
      <c r="G180" s="38">
        <v>0.0</v>
      </c>
      <c r="H180" s="38">
        <v>0.0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8">
        <v>179.0</v>
      </c>
      <c r="B181" s="39" t="s">
        <v>216</v>
      </c>
      <c r="C181" s="38">
        <v>4.0</v>
      </c>
      <c r="D181" s="38">
        <v>2.0</v>
      </c>
      <c r="E181" s="38">
        <v>0.0</v>
      </c>
      <c r="F181" s="38">
        <v>2.0</v>
      </c>
      <c r="G181" s="38">
        <v>0.0</v>
      </c>
      <c r="H181" s="38">
        <v>0.0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8">
        <v>180.0</v>
      </c>
      <c r="B182" s="39" t="s">
        <v>29</v>
      </c>
      <c r="C182" s="38">
        <v>4.0</v>
      </c>
      <c r="D182" s="38">
        <v>2.0</v>
      </c>
      <c r="E182" s="38">
        <v>0.0</v>
      </c>
      <c r="F182" s="38">
        <v>2.0</v>
      </c>
      <c r="G182" s="38">
        <v>0.0</v>
      </c>
      <c r="H182" s="38">
        <v>0.0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8">
        <v>181.0</v>
      </c>
      <c r="B183" s="39" t="s">
        <v>217</v>
      </c>
      <c r="C183" s="38">
        <v>4.0</v>
      </c>
      <c r="D183" s="38">
        <v>4.0</v>
      </c>
      <c r="E183" s="38">
        <v>0.0</v>
      </c>
      <c r="F183" s="38">
        <v>2.0</v>
      </c>
      <c r="G183" s="38">
        <v>1.0</v>
      </c>
      <c r="H183" s="38">
        <v>1.0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8">
        <v>182.0</v>
      </c>
      <c r="B184" s="39" t="s">
        <v>218</v>
      </c>
      <c r="C184" s="38">
        <v>4.0</v>
      </c>
      <c r="D184" s="38">
        <v>2.0</v>
      </c>
      <c r="E184" s="38">
        <v>0.0</v>
      </c>
      <c r="F184" s="38">
        <v>2.0</v>
      </c>
      <c r="G184" s="38">
        <v>0.0</v>
      </c>
      <c r="H184" s="38">
        <v>0.0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8">
        <v>183.0</v>
      </c>
      <c r="B185" s="39" t="s">
        <v>219</v>
      </c>
      <c r="C185" s="38">
        <v>4.0</v>
      </c>
      <c r="D185" s="38">
        <v>2.0</v>
      </c>
      <c r="E185" s="38">
        <v>0.0</v>
      </c>
      <c r="F185" s="38">
        <v>2.0</v>
      </c>
      <c r="G185" s="38">
        <v>0.0</v>
      </c>
      <c r="H185" s="38">
        <v>0.0</v>
      </c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8">
        <v>184.0</v>
      </c>
      <c r="B186" s="39" t="s">
        <v>220</v>
      </c>
      <c r="C186" s="38">
        <v>4.0</v>
      </c>
      <c r="D186" s="38">
        <v>2.0</v>
      </c>
      <c r="E186" s="38">
        <v>0.0</v>
      </c>
      <c r="F186" s="38">
        <v>2.0</v>
      </c>
      <c r="G186" s="38">
        <v>0.0</v>
      </c>
      <c r="H186" s="38">
        <v>0.0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8">
        <v>185.0</v>
      </c>
      <c r="B187" s="39" t="s">
        <v>221</v>
      </c>
      <c r="C187" s="38">
        <v>4.0</v>
      </c>
      <c r="D187" s="38">
        <v>8.0</v>
      </c>
      <c r="E187" s="38">
        <v>0.0</v>
      </c>
      <c r="F187" s="38">
        <v>4.0</v>
      </c>
      <c r="G187" s="38">
        <v>0.0</v>
      </c>
      <c r="H187" s="38">
        <v>4.0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8">
        <v>186.0</v>
      </c>
      <c r="B188" s="39" t="s">
        <v>222</v>
      </c>
      <c r="C188" s="38">
        <v>4.0</v>
      </c>
      <c r="D188" s="38">
        <v>5.0</v>
      </c>
      <c r="E188" s="38">
        <v>0.0</v>
      </c>
      <c r="F188" s="38">
        <v>3.0</v>
      </c>
      <c r="G188" s="38">
        <v>0.0</v>
      </c>
      <c r="H188" s="38">
        <v>2.0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8">
        <v>187.0</v>
      </c>
      <c r="B189" s="39" t="s">
        <v>223</v>
      </c>
      <c r="C189" s="38">
        <v>4.0</v>
      </c>
      <c r="D189" s="38">
        <v>5.0</v>
      </c>
      <c r="E189" s="38">
        <v>0.0</v>
      </c>
      <c r="F189" s="38">
        <v>3.0</v>
      </c>
      <c r="G189" s="38">
        <v>0.0</v>
      </c>
      <c r="H189" s="38">
        <v>2.0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8">
        <v>188.0</v>
      </c>
      <c r="B190" s="39" t="s">
        <v>224</v>
      </c>
      <c r="C190" s="38">
        <v>4.0</v>
      </c>
      <c r="D190" s="38">
        <v>2.0</v>
      </c>
      <c r="E190" s="38">
        <v>0.0</v>
      </c>
      <c r="F190" s="38">
        <v>2.0</v>
      </c>
      <c r="G190" s="38">
        <v>0.0</v>
      </c>
      <c r="H190" s="38">
        <v>0.0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8">
        <v>189.0</v>
      </c>
      <c r="B191" s="39" t="s">
        <v>225</v>
      </c>
      <c r="C191" s="38">
        <v>4.0</v>
      </c>
      <c r="D191" s="38">
        <v>2.0</v>
      </c>
      <c r="E191" s="38">
        <v>0.0</v>
      </c>
      <c r="F191" s="38">
        <v>2.0</v>
      </c>
      <c r="G191" s="38">
        <v>0.0</v>
      </c>
      <c r="H191" s="38">
        <v>0.0</v>
      </c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8">
        <v>190.0</v>
      </c>
      <c r="B192" s="39" t="s">
        <v>226</v>
      </c>
      <c r="C192" s="38">
        <v>4.0</v>
      </c>
      <c r="D192" s="38">
        <v>2.0</v>
      </c>
      <c r="E192" s="38">
        <v>0.0</v>
      </c>
      <c r="F192" s="38">
        <v>2.0</v>
      </c>
      <c r="G192" s="38">
        <v>0.0</v>
      </c>
      <c r="H192" s="38">
        <v>0.0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8">
        <v>191.0</v>
      </c>
      <c r="B193" s="39" t="s">
        <v>227</v>
      </c>
      <c r="C193" s="38">
        <v>4.0</v>
      </c>
      <c r="D193" s="38">
        <v>2.0</v>
      </c>
      <c r="E193" s="38">
        <v>0.0</v>
      </c>
      <c r="F193" s="38">
        <v>2.0</v>
      </c>
      <c r="G193" s="38">
        <v>0.0</v>
      </c>
      <c r="H193" s="38">
        <v>0.0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8">
        <v>192.0</v>
      </c>
      <c r="B194" s="39" t="s">
        <v>228</v>
      </c>
      <c r="C194" s="38">
        <v>4.0</v>
      </c>
      <c r="D194" s="38">
        <v>2.0</v>
      </c>
      <c r="E194" s="38">
        <v>0.0</v>
      </c>
      <c r="F194" s="38">
        <v>2.0</v>
      </c>
      <c r="G194" s="38">
        <v>0.0</v>
      </c>
      <c r="H194" s="38">
        <v>0.0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8">
        <v>193.0</v>
      </c>
      <c r="B195" s="39" t="s">
        <v>33</v>
      </c>
      <c r="C195" s="38">
        <v>4.0</v>
      </c>
      <c r="D195" s="38">
        <v>2.0</v>
      </c>
      <c r="E195" s="38">
        <v>0.0</v>
      </c>
      <c r="F195" s="38">
        <v>2.0</v>
      </c>
      <c r="G195" s="38">
        <v>0.0</v>
      </c>
      <c r="H195" s="38">
        <v>0.0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8">
        <v>194.0</v>
      </c>
      <c r="B196" s="39" t="s">
        <v>229</v>
      </c>
      <c r="C196" s="38">
        <v>4.0</v>
      </c>
      <c r="D196" s="38">
        <v>2.0</v>
      </c>
      <c r="E196" s="38">
        <v>0.0</v>
      </c>
      <c r="F196" s="38">
        <v>2.0</v>
      </c>
      <c r="G196" s="38">
        <v>0.0</v>
      </c>
      <c r="H196" s="38">
        <v>0.0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8">
        <v>195.0</v>
      </c>
      <c r="B197" s="39" t="s">
        <v>230</v>
      </c>
      <c r="C197" s="38">
        <v>4.0</v>
      </c>
      <c r="D197" s="38">
        <v>15.0</v>
      </c>
      <c r="E197" s="38">
        <v>0.0</v>
      </c>
      <c r="F197" s="38">
        <v>5.0</v>
      </c>
      <c r="G197" s="38">
        <v>2.0</v>
      </c>
      <c r="H197" s="38">
        <v>8.0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8">
        <v>196.0</v>
      </c>
      <c r="B198" s="39" t="s">
        <v>231</v>
      </c>
      <c r="C198" s="38">
        <v>4.0</v>
      </c>
      <c r="D198" s="38">
        <v>2.0</v>
      </c>
      <c r="E198" s="38">
        <v>0.0</v>
      </c>
      <c r="F198" s="38">
        <v>2.0</v>
      </c>
      <c r="G198" s="38">
        <v>0.0</v>
      </c>
      <c r="H198" s="38">
        <v>0.0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8">
        <v>197.0</v>
      </c>
      <c r="B199" s="39" t="s">
        <v>232</v>
      </c>
      <c r="C199" s="38">
        <v>4.0</v>
      </c>
      <c r="D199" s="38">
        <v>2.0</v>
      </c>
      <c r="E199" s="38">
        <v>0.0</v>
      </c>
      <c r="F199" s="38">
        <v>2.0</v>
      </c>
      <c r="G199" s="38">
        <v>0.0</v>
      </c>
      <c r="H199" s="38">
        <v>0.0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8">
        <v>198.0</v>
      </c>
      <c r="B200" s="39" t="s">
        <v>233</v>
      </c>
      <c r="C200" s="38">
        <v>4.0</v>
      </c>
      <c r="D200" s="38">
        <v>2.0</v>
      </c>
      <c r="E200" s="38">
        <v>0.0</v>
      </c>
      <c r="F200" s="38">
        <v>2.0</v>
      </c>
      <c r="G200" s="38">
        <v>0.0</v>
      </c>
      <c r="H200" s="38">
        <v>0.0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8">
        <v>199.0</v>
      </c>
      <c r="B201" s="39" t="s">
        <v>30</v>
      </c>
      <c r="C201" s="38">
        <v>4.0</v>
      </c>
      <c r="D201" s="38">
        <v>2.0</v>
      </c>
      <c r="E201" s="38">
        <v>0.0</v>
      </c>
      <c r="F201" s="38">
        <v>2.0</v>
      </c>
      <c r="G201" s="38">
        <v>0.0</v>
      </c>
      <c r="H201" s="38">
        <v>0.0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8">
        <v>200.0</v>
      </c>
      <c r="B202" s="39" t="s">
        <v>234</v>
      </c>
      <c r="C202" s="38">
        <v>4.0</v>
      </c>
      <c r="D202" s="38">
        <v>2.0</v>
      </c>
      <c r="E202" s="38">
        <v>0.0</v>
      </c>
      <c r="F202" s="38">
        <v>2.0</v>
      </c>
      <c r="G202" s="38">
        <v>0.0</v>
      </c>
      <c r="H202" s="38">
        <v>0.0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8">
        <v>201.0</v>
      </c>
      <c r="B203" s="39" t="s">
        <v>235</v>
      </c>
      <c r="C203" s="38">
        <v>4.0</v>
      </c>
      <c r="D203" s="38">
        <v>2.0</v>
      </c>
      <c r="E203" s="38">
        <v>0.0</v>
      </c>
      <c r="F203" s="38">
        <v>2.0</v>
      </c>
      <c r="G203" s="38">
        <v>0.0</v>
      </c>
      <c r="H203" s="38">
        <v>0.0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8">
        <v>202.0</v>
      </c>
      <c r="B204" s="39" t="s">
        <v>236</v>
      </c>
      <c r="C204" s="38">
        <v>4.0</v>
      </c>
      <c r="D204" s="38">
        <v>2.0</v>
      </c>
      <c r="E204" s="38">
        <v>0.0</v>
      </c>
      <c r="F204" s="38">
        <v>2.0</v>
      </c>
      <c r="G204" s="38">
        <v>0.0</v>
      </c>
      <c r="H204" s="38">
        <v>0.0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8">
        <v>203.0</v>
      </c>
      <c r="B205" s="39" t="s">
        <v>237</v>
      </c>
      <c r="C205" s="38">
        <v>4.0</v>
      </c>
      <c r="D205" s="38">
        <v>10.0</v>
      </c>
      <c r="E205" s="38">
        <v>0.0</v>
      </c>
      <c r="F205" s="38">
        <v>4.0</v>
      </c>
      <c r="G205" s="38">
        <v>1.0</v>
      </c>
      <c r="H205" s="38">
        <v>5.0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8">
        <v>204.0</v>
      </c>
      <c r="B206" s="39" t="s">
        <v>238</v>
      </c>
      <c r="C206" s="38">
        <v>4.0</v>
      </c>
      <c r="D206" s="38">
        <v>2.0</v>
      </c>
      <c r="E206" s="38">
        <v>0.0</v>
      </c>
      <c r="F206" s="38">
        <v>2.0</v>
      </c>
      <c r="G206" s="38">
        <v>0.0</v>
      </c>
      <c r="H206" s="38">
        <v>0.0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8">
        <v>205.0</v>
      </c>
      <c r="B207" s="39" t="s">
        <v>239</v>
      </c>
      <c r="C207" s="38">
        <v>4.0</v>
      </c>
      <c r="D207" s="38">
        <v>2.0</v>
      </c>
      <c r="E207" s="38">
        <v>0.0</v>
      </c>
      <c r="F207" s="38">
        <v>2.0</v>
      </c>
      <c r="G207" s="38">
        <v>0.0</v>
      </c>
      <c r="H207" s="38">
        <v>0.0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8">
        <v>206.0</v>
      </c>
      <c r="B208" s="39" t="s">
        <v>240</v>
      </c>
      <c r="C208" s="38">
        <v>4.0</v>
      </c>
      <c r="D208" s="38">
        <v>2.0</v>
      </c>
      <c r="E208" s="38">
        <v>0.0</v>
      </c>
      <c r="F208" s="38">
        <v>2.0</v>
      </c>
      <c r="G208" s="38">
        <v>0.0</v>
      </c>
      <c r="H208" s="38">
        <v>0.0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8">
        <v>207.0</v>
      </c>
      <c r="B209" s="39" t="s">
        <v>241</v>
      </c>
      <c r="C209" s="38">
        <v>4.0</v>
      </c>
      <c r="D209" s="38">
        <v>2.0</v>
      </c>
      <c r="E209" s="38">
        <v>0.0</v>
      </c>
      <c r="F209" s="38">
        <v>2.0</v>
      </c>
      <c r="G209" s="38">
        <v>0.0</v>
      </c>
      <c r="H209" s="38">
        <v>0.0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8">
        <v>208.0</v>
      </c>
      <c r="B210" s="39" t="s">
        <v>32</v>
      </c>
      <c r="C210" s="38">
        <v>4.0</v>
      </c>
      <c r="D210" s="38">
        <v>2.0</v>
      </c>
      <c r="E210" s="38">
        <v>0.0</v>
      </c>
      <c r="F210" s="38">
        <v>2.0</v>
      </c>
      <c r="G210" s="38">
        <v>0.0</v>
      </c>
      <c r="H210" s="38">
        <v>0.0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8">
        <v>209.0</v>
      </c>
      <c r="B211" s="39" t="s">
        <v>242</v>
      </c>
      <c r="C211" s="38">
        <v>3.0</v>
      </c>
      <c r="D211" s="38">
        <v>2.0</v>
      </c>
      <c r="E211" s="38">
        <v>0.0</v>
      </c>
      <c r="F211" s="38">
        <v>1.0</v>
      </c>
      <c r="G211" s="38">
        <v>1.0</v>
      </c>
      <c r="H211" s="38">
        <v>0.0</v>
      </c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8">
        <v>210.0</v>
      </c>
      <c r="B212" s="39" t="s">
        <v>243</v>
      </c>
      <c r="C212" s="38">
        <v>3.0</v>
      </c>
      <c r="D212" s="38">
        <v>2.0</v>
      </c>
      <c r="E212" s="38">
        <v>0.0</v>
      </c>
      <c r="F212" s="38">
        <v>1.0</v>
      </c>
      <c r="G212" s="38">
        <v>1.0</v>
      </c>
      <c r="H212" s="38">
        <v>0.0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8">
        <v>211.0</v>
      </c>
      <c r="B213" s="39" t="s">
        <v>244</v>
      </c>
      <c r="C213" s="38">
        <v>3.0</v>
      </c>
      <c r="D213" s="38">
        <v>3.0</v>
      </c>
      <c r="E213" s="38">
        <v>0.0</v>
      </c>
      <c r="F213" s="38">
        <v>2.0</v>
      </c>
      <c r="G213" s="38">
        <v>0.0</v>
      </c>
      <c r="H213" s="38">
        <v>1.0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8">
        <v>212.0</v>
      </c>
      <c r="B214" s="39" t="s">
        <v>66</v>
      </c>
      <c r="C214" s="38">
        <v>3.0</v>
      </c>
      <c r="D214" s="38">
        <v>2.0</v>
      </c>
      <c r="E214" s="38">
        <v>0.0</v>
      </c>
      <c r="F214" s="38">
        <v>1.0</v>
      </c>
      <c r="G214" s="38">
        <v>1.0</v>
      </c>
      <c r="H214" s="38">
        <v>0.0</v>
      </c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8">
        <v>213.0</v>
      </c>
      <c r="B215" s="39" t="s">
        <v>245</v>
      </c>
      <c r="C215" s="38">
        <v>3.0</v>
      </c>
      <c r="D215" s="38">
        <v>3.0</v>
      </c>
      <c r="E215" s="38">
        <v>0.0</v>
      </c>
      <c r="F215" s="38">
        <v>2.0</v>
      </c>
      <c r="G215" s="38">
        <v>0.0</v>
      </c>
      <c r="H215" s="38">
        <v>1.0</v>
      </c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8">
        <v>214.0</v>
      </c>
      <c r="B216" s="39" t="s">
        <v>246</v>
      </c>
      <c r="C216" s="38">
        <v>3.0</v>
      </c>
      <c r="D216" s="38">
        <v>3.0</v>
      </c>
      <c r="E216" s="38">
        <v>0.0</v>
      </c>
      <c r="F216" s="38">
        <v>2.0</v>
      </c>
      <c r="G216" s="38">
        <v>0.0</v>
      </c>
      <c r="H216" s="38">
        <v>1.0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8">
        <v>215.0</v>
      </c>
      <c r="B217" s="39" t="s">
        <v>247</v>
      </c>
      <c r="C217" s="38">
        <v>3.0</v>
      </c>
      <c r="D217" s="38">
        <v>2.0</v>
      </c>
      <c r="E217" s="38">
        <v>0.0</v>
      </c>
      <c r="F217" s="38">
        <v>1.0</v>
      </c>
      <c r="G217" s="38">
        <v>1.0</v>
      </c>
      <c r="H217" s="38">
        <v>0.0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8">
        <v>216.0</v>
      </c>
      <c r="B218" s="39" t="s">
        <v>248</v>
      </c>
      <c r="C218" s="38">
        <v>3.0</v>
      </c>
      <c r="D218" s="38">
        <v>8.0</v>
      </c>
      <c r="E218" s="38">
        <v>0.0</v>
      </c>
      <c r="F218" s="38">
        <v>3.0</v>
      </c>
      <c r="G218" s="38">
        <v>1.0</v>
      </c>
      <c r="H218" s="38">
        <v>4.0</v>
      </c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8">
        <v>217.0</v>
      </c>
      <c r="B219" s="39" t="s">
        <v>249</v>
      </c>
      <c r="C219" s="38">
        <v>3.0</v>
      </c>
      <c r="D219" s="38">
        <v>3.0</v>
      </c>
      <c r="E219" s="38">
        <v>0.0</v>
      </c>
      <c r="F219" s="38">
        <v>2.0</v>
      </c>
      <c r="G219" s="38">
        <v>0.0</v>
      </c>
      <c r="H219" s="38">
        <v>1.0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8">
        <v>218.0</v>
      </c>
      <c r="B220" s="39" t="s">
        <v>250</v>
      </c>
      <c r="C220" s="38">
        <v>3.0</v>
      </c>
      <c r="D220" s="38">
        <v>2.0</v>
      </c>
      <c r="E220" s="38">
        <v>0.0</v>
      </c>
      <c r="F220" s="38">
        <v>1.0</v>
      </c>
      <c r="G220" s="38">
        <v>1.0</v>
      </c>
      <c r="H220" s="38">
        <v>0.0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8">
        <v>219.0</v>
      </c>
      <c r="B221" s="39" t="s">
        <v>251</v>
      </c>
      <c r="C221" s="38">
        <v>3.0</v>
      </c>
      <c r="D221" s="38">
        <v>2.0</v>
      </c>
      <c r="E221" s="38">
        <v>0.0</v>
      </c>
      <c r="F221" s="38">
        <v>1.0</v>
      </c>
      <c r="G221" s="38">
        <v>1.0</v>
      </c>
      <c r="H221" s="38">
        <v>0.0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8">
        <v>220.0</v>
      </c>
      <c r="B222" s="39" t="s">
        <v>252</v>
      </c>
      <c r="C222" s="38">
        <v>3.0</v>
      </c>
      <c r="D222" s="38">
        <v>5.0</v>
      </c>
      <c r="E222" s="38">
        <v>0.0</v>
      </c>
      <c r="F222" s="38">
        <v>2.0</v>
      </c>
      <c r="G222" s="38">
        <v>1.0</v>
      </c>
      <c r="H222" s="38">
        <v>2.0</v>
      </c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8">
        <v>221.0</v>
      </c>
      <c r="B223" s="39" t="s">
        <v>253</v>
      </c>
      <c r="C223" s="38">
        <v>3.0</v>
      </c>
      <c r="D223" s="38">
        <v>2.0</v>
      </c>
      <c r="E223" s="38">
        <v>0.0</v>
      </c>
      <c r="F223" s="38">
        <v>1.0</v>
      </c>
      <c r="G223" s="38">
        <v>1.0</v>
      </c>
      <c r="H223" s="38">
        <v>0.0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8">
        <v>222.0</v>
      </c>
      <c r="B224" s="39" t="s">
        <v>254</v>
      </c>
      <c r="C224" s="38">
        <v>3.0</v>
      </c>
      <c r="D224" s="38">
        <v>2.0</v>
      </c>
      <c r="E224" s="38">
        <v>0.0</v>
      </c>
      <c r="F224" s="38">
        <v>1.0</v>
      </c>
      <c r="G224" s="38">
        <v>1.0</v>
      </c>
      <c r="H224" s="38">
        <v>0.0</v>
      </c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8">
        <v>223.0</v>
      </c>
      <c r="B225" s="39" t="s">
        <v>255</v>
      </c>
      <c r="C225" s="38">
        <v>3.0</v>
      </c>
      <c r="D225" s="38">
        <v>5.0</v>
      </c>
      <c r="E225" s="38">
        <v>0.0</v>
      </c>
      <c r="F225" s="38">
        <v>2.0</v>
      </c>
      <c r="G225" s="38">
        <v>1.0</v>
      </c>
      <c r="H225" s="38">
        <v>2.0</v>
      </c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8">
        <v>224.0</v>
      </c>
      <c r="B226" s="39" t="s">
        <v>256</v>
      </c>
      <c r="C226" s="38">
        <v>3.0</v>
      </c>
      <c r="D226" s="38">
        <v>3.0</v>
      </c>
      <c r="E226" s="38">
        <v>0.0</v>
      </c>
      <c r="F226" s="38">
        <v>2.0</v>
      </c>
      <c r="G226" s="38">
        <v>0.0</v>
      </c>
      <c r="H226" s="38">
        <v>1.0</v>
      </c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8">
        <v>225.0</v>
      </c>
      <c r="B227" s="39" t="s">
        <v>257</v>
      </c>
      <c r="C227" s="38">
        <v>3.0</v>
      </c>
      <c r="D227" s="38">
        <v>2.0</v>
      </c>
      <c r="E227" s="38">
        <v>0.0</v>
      </c>
      <c r="F227" s="38">
        <v>1.0</v>
      </c>
      <c r="G227" s="38">
        <v>1.0</v>
      </c>
      <c r="H227" s="38">
        <v>0.0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8">
        <v>226.0</v>
      </c>
      <c r="B228" s="39" t="s">
        <v>258</v>
      </c>
      <c r="C228" s="38">
        <v>3.0</v>
      </c>
      <c r="D228" s="38">
        <v>2.0</v>
      </c>
      <c r="E228" s="38">
        <v>0.0</v>
      </c>
      <c r="F228" s="38">
        <v>1.0</v>
      </c>
      <c r="G228" s="38">
        <v>1.0</v>
      </c>
      <c r="H228" s="38">
        <v>0.0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8">
        <v>227.0</v>
      </c>
      <c r="B229" s="39" t="s">
        <v>34</v>
      </c>
      <c r="C229" s="38">
        <v>3.0</v>
      </c>
      <c r="D229" s="38">
        <v>2.0</v>
      </c>
      <c r="E229" s="38">
        <v>0.0</v>
      </c>
      <c r="F229" s="38">
        <v>1.0</v>
      </c>
      <c r="G229" s="38">
        <v>1.0</v>
      </c>
      <c r="H229" s="38">
        <v>0.0</v>
      </c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8">
        <v>228.0</v>
      </c>
      <c r="B230" s="39" t="s">
        <v>259</v>
      </c>
      <c r="C230" s="38">
        <v>3.0</v>
      </c>
      <c r="D230" s="38">
        <v>2.0</v>
      </c>
      <c r="E230" s="38">
        <v>0.0</v>
      </c>
      <c r="F230" s="38">
        <v>1.0</v>
      </c>
      <c r="G230" s="38">
        <v>1.0</v>
      </c>
      <c r="H230" s="38">
        <v>0.0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8">
        <v>229.0</v>
      </c>
      <c r="B231" s="39" t="s">
        <v>260</v>
      </c>
      <c r="C231" s="38">
        <v>3.0</v>
      </c>
      <c r="D231" s="38">
        <v>3.0</v>
      </c>
      <c r="E231" s="38">
        <v>0.0</v>
      </c>
      <c r="F231" s="38">
        <v>2.0</v>
      </c>
      <c r="G231" s="38">
        <v>0.0</v>
      </c>
      <c r="H231" s="38">
        <v>1.0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8">
        <v>230.0</v>
      </c>
      <c r="B232" s="39" t="s">
        <v>261</v>
      </c>
      <c r="C232" s="38">
        <v>3.0</v>
      </c>
      <c r="D232" s="38">
        <v>3.0</v>
      </c>
      <c r="E232" s="38">
        <v>0.0</v>
      </c>
      <c r="F232" s="38">
        <v>2.0</v>
      </c>
      <c r="G232" s="38">
        <v>0.0</v>
      </c>
      <c r="H232" s="38">
        <v>1.0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8">
        <v>231.0</v>
      </c>
      <c r="B233" s="39" t="s">
        <v>262</v>
      </c>
      <c r="C233" s="38">
        <v>3.0</v>
      </c>
      <c r="D233" s="38">
        <v>2.0</v>
      </c>
      <c r="E233" s="38">
        <v>0.0</v>
      </c>
      <c r="F233" s="38">
        <v>1.0</v>
      </c>
      <c r="G233" s="38">
        <v>1.0</v>
      </c>
      <c r="H233" s="38">
        <v>0.0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8">
        <v>232.0</v>
      </c>
      <c r="B234" s="39" t="s">
        <v>263</v>
      </c>
      <c r="C234" s="38">
        <v>3.0</v>
      </c>
      <c r="D234" s="38">
        <v>3.0</v>
      </c>
      <c r="E234" s="38">
        <v>0.0</v>
      </c>
      <c r="F234" s="38">
        <v>2.0</v>
      </c>
      <c r="G234" s="38">
        <v>0.0</v>
      </c>
      <c r="H234" s="38">
        <v>1.0</v>
      </c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8">
        <v>233.0</v>
      </c>
      <c r="B235" s="39" t="s">
        <v>264</v>
      </c>
      <c r="C235" s="38">
        <v>3.0</v>
      </c>
      <c r="D235" s="38">
        <v>2.0</v>
      </c>
      <c r="E235" s="38">
        <v>0.0</v>
      </c>
      <c r="F235" s="38">
        <v>1.0</v>
      </c>
      <c r="G235" s="38">
        <v>1.0</v>
      </c>
      <c r="H235" s="38">
        <v>0.0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8">
        <v>234.0</v>
      </c>
      <c r="B236" s="39" t="s">
        <v>265</v>
      </c>
      <c r="C236" s="38">
        <v>3.0</v>
      </c>
      <c r="D236" s="38">
        <v>3.0</v>
      </c>
      <c r="E236" s="38">
        <v>0.0</v>
      </c>
      <c r="F236" s="38">
        <v>2.0</v>
      </c>
      <c r="G236" s="38">
        <v>0.0</v>
      </c>
      <c r="H236" s="38">
        <v>1.0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8">
        <v>235.0</v>
      </c>
      <c r="B237" s="39" t="s">
        <v>266</v>
      </c>
      <c r="C237" s="38">
        <v>3.0</v>
      </c>
      <c r="D237" s="38">
        <v>9.0</v>
      </c>
      <c r="E237" s="38">
        <v>0.0</v>
      </c>
      <c r="F237" s="38">
        <v>2.0</v>
      </c>
      <c r="G237" s="38">
        <v>3.0</v>
      </c>
      <c r="H237" s="38">
        <v>4.0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8">
        <v>236.0</v>
      </c>
      <c r="B238" s="39" t="s">
        <v>267</v>
      </c>
      <c r="C238" s="38">
        <v>3.0</v>
      </c>
      <c r="D238" s="38">
        <v>2.0</v>
      </c>
      <c r="E238" s="38">
        <v>0.0</v>
      </c>
      <c r="F238" s="38">
        <v>1.0</v>
      </c>
      <c r="G238" s="38">
        <v>1.0</v>
      </c>
      <c r="H238" s="38">
        <v>0.0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8">
        <v>237.0</v>
      </c>
      <c r="B239" s="39" t="s">
        <v>268</v>
      </c>
      <c r="C239" s="38">
        <v>3.0</v>
      </c>
      <c r="D239" s="38">
        <v>8.0</v>
      </c>
      <c r="E239" s="38">
        <v>0.0</v>
      </c>
      <c r="F239" s="38">
        <v>3.0</v>
      </c>
      <c r="G239" s="38">
        <v>1.0</v>
      </c>
      <c r="H239" s="38">
        <v>4.0</v>
      </c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8">
        <v>238.0</v>
      </c>
      <c r="B240" s="39" t="s">
        <v>269</v>
      </c>
      <c r="C240" s="38">
        <v>3.0</v>
      </c>
      <c r="D240" s="38">
        <v>2.0</v>
      </c>
      <c r="E240" s="38">
        <v>0.0</v>
      </c>
      <c r="F240" s="38">
        <v>1.0</v>
      </c>
      <c r="G240" s="38">
        <v>1.0</v>
      </c>
      <c r="H240" s="38">
        <v>0.0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8">
        <v>239.0</v>
      </c>
      <c r="B241" s="39" t="s">
        <v>270</v>
      </c>
      <c r="C241" s="38">
        <v>3.0</v>
      </c>
      <c r="D241" s="38">
        <v>3.0</v>
      </c>
      <c r="E241" s="38">
        <v>0.0</v>
      </c>
      <c r="F241" s="38">
        <v>2.0</v>
      </c>
      <c r="G241" s="38">
        <v>0.0</v>
      </c>
      <c r="H241" s="38">
        <v>1.0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8">
        <v>240.0</v>
      </c>
      <c r="B242" s="39" t="s">
        <v>271</v>
      </c>
      <c r="C242" s="38">
        <v>3.0</v>
      </c>
      <c r="D242" s="38">
        <v>3.0</v>
      </c>
      <c r="E242" s="38">
        <v>1.0</v>
      </c>
      <c r="F242" s="38">
        <v>0.0</v>
      </c>
      <c r="G242" s="38">
        <v>0.0</v>
      </c>
      <c r="H242" s="38">
        <v>2.0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8">
        <v>241.0</v>
      </c>
      <c r="B243" s="39" t="s">
        <v>272</v>
      </c>
      <c r="C243" s="38">
        <v>3.0</v>
      </c>
      <c r="D243" s="38">
        <v>3.0</v>
      </c>
      <c r="E243" s="38">
        <v>0.0</v>
      </c>
      <c r="F243" s="38">
        <v>2.0</v>
      </c>
      <c r="G243" s="38">
        <v>0.0</v>
      </c>
      <c r="H243" s="38">
        <v>1.0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8">
        <v>242.0</v>
      </c>
      <c r="B244" s="39" t="s">
        <v>273</v>
      </c>
      <c r="C244" s="38">
        <v>3.0</v>
      </c>
      <c r="D244" s="38">
        <v>3.0</v>
      </c>
      <c r="E244" s="38">
        <v>0.0</v>
      </c>
      <c r="F244" s="38">
        <v>2.0</v>
      </c>
      <c r="G244" s="38">
        <v>0.0</v>
      </c>
      <c r="H244" s="38">
        <v>1.0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8">
        <v>243.0</v>
      </c>
      <c r="B245" s="39" t="s">
        <v>274</v>
      </c>
      <c r="C245" s="38">
        <v>3.0</v>
      </c>
      <c r="D245" s="38">
        <v>6.0</v>
      </c>
      <c r="E245" s="38">
        <v>0.0</v>
      </c>
      <c r="F245" s="38">
        <v>3.0</v>
      </c>
      <c r="G245" s="38">
        <v>0.0</v>
      </c>
      <c r="H245" s="38">
        <v>3.0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8">
        <v>244.0</v>
      </c>
      <c r="B246" s="39" t="s">
        <v>275</v>
      </c>
      <c r="C246" s="38">
        <v>3.0</v>
      </c>
      <c r="D246" s="38">
        <v>3.0</v>
      </c>
      <c r="E246" s="38">
        <v>0.0</v>
      </c>
      <c r="F246" s="38">
        <v>2.0</v>
      </c>
      <c r="G246" s="38">
        <v>0.0</v>
      </c>
      <c r="H246" s="38">
        <v>1.0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8">
        <v>245.0</v>
      </c>
      <c r="B247" s="39" t="s">
        <v>276</v>
      </c>
      <c r="C247" s="38">
        <v>3.0</v>
      </c>
      <c r="D247" s="38">
        <v>3.0</v>
      </c>
      <c r="E247" s="38">
        <v>0.0</v>
      </c>
      <c r="F247" s="38">
        <v>2.0</v>
      </c>
      <c r="G247" s="38">
        <v>0.0</v>
      </c>
      <c r="H247" s="38">
        <v>1.0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8">
        <v>246.0</v>
      </c>
      <c r="B248" s="39" t="s">
        <v>277</v>
      </c>
      <c r="C248" s="38">
        <v>3.0</v>
      </c>
      <c r="D248" s="38">
        <v>2.0</v>
      </c>
      <c r="E248" s="38">
        <v>0.0</v>
      </c>
      <c r="F248" s="38">
        <v>1.0</v>
      </c>
      <c r="G248" s="38">
        <v>1.0</v>
      </c>
      <c r="H248" s="38">
        <v>0.0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8">
        <v>247.0</v>
      </c>
      <c r="B249" s="39" t="s">
        <v>278</v>
      </c>
      <c r="C249" s="38">
        <v>3.0</v>
      </c>
      <c r="D249" s="38">
        <v>3.0</v>
      </c>
      <c r="E249" s="38">
        <v>0.0</v>
      </c>
      <c r="F249" s="38">
        <v>2.0</v>
      </c>
      <c r="G249" s="38">
        <v>0.0</v>
      </c>
      <c r="H249" s="38">
        <v>1.0</v>
      </c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8">
        <v>248.0</v>
      </c>
      <c r="B250" s="39" t="s">
        <v>279</v>
      </c>
      <c r="C250" s="38">
        <v>3.0</v>
      </c>
      <c r="D250" s="38">
        <v>2.0</v>
      </c>
      <c r="E250" s="38">
        <v>0.0</v>
      </c>
      <c r="F250" s="38">
        <v>1.0</v>
      </c>
      <c r="G250" s="38">
        <v>1.0</v>
      </c>
      <c r="H250" s="38">
        <v>0.0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38">
        <v>249.0</v>
      </c>
      <c r="B251" s="39" t="s">
        <v>280</v>
      </c>
      <c r="C251" s="38">
        <v>3.0</v>
      </c>
      <c r="D251" s="38">
        <v>3.0</v>
      </c>
      <c r="E251" s="38">
        <v>0.0</v>
      </c>
      <c r="F251" s="38">
        <v>2.0</v>
      </c>
      <c r="G251" s="38">
        <v>0.0</v>
      </c>
      <c r="H251" s="38">
        <v>1.0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8">
        <v>250.0</v>
      </c>
      <c r="B252" s="39" t="s">
        <v>281</v>
      </c>
      <c r="C252" s="38">
        <v>3.0</v>
      </c>
      <c r="D252" s="38">
        <v>4.0</v>
      </c>
      <c r="E252" s="38">
        <v>0.0</v>
      </c>
      <c r="F252" s="38">
        <v>1.0</v>
      </c>
      <c r="G252" s="38">
        <v>2.0</v>
      </c>
      <c r="H252" s="38">
        <v>1.0</v>
      </c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38">
        <v>251.0</v>
      </c>
      <c r="B253" s="39" t="s">
        <v>282</v>
      </c>
      <c r="C253" s="38">
        <v>3.0</v>
      </c>
      <c r="D253" s="38">
        <v>2.0</v>
      </c>
      <c r="E253" s="38">
        <v>0.0</v>
      </c>
      <c r="F253" s="38">
        <v>1.0</v>
      </c>
      <c r="G253" s="38">
        <v>1.0</v>
      </c>
      <c r="H253" s="38">
        <v>0.0</v>
      </c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38">
        <v>252.0</v>
      </c>
      <c r="B254" s="39" t="s">
        <v>283</v>
      </c>
      <c r="C254" s="38">
        <v>3.0</v>
      </c>
      <c r="D254" s="38">
        <v>2.0</v>
      </c>
      <c r="E254" s="38">
        <v>0.0</v>
      </c>
      <c r="F254" s="38">
        <v>1.0</v>
      </c>
      <c r="G254" s="38">
        <v>1.0</v>
      </c>
      <c r="H254" s="38">
        <v>0.0</v>
      </c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38">
        <v>253.0</v>
      </c>
      <c r="B255" s="39" t="s">
        <v>284</v>
      </c>
      <c r="C255" s="38">
        <v>3.0</v>
      </c>
      <c r="D255" s="38">
        <v>2.0</v>
      </c>
      <c r="E255" s="38">
        <v>0.0</v>
      </c>
      <c r="F255" s="38">
        <v>1.0</v>
      </c>
      <c r="G255" s="38">
        <v>1.0</v>
      </c>
      <c r="H255" s="38">
        <v>0.0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38">
        <v>254.0</v>
      </c>
      <c r="B256" s="39" t="s">
        <v>285</v>
      </c>
      <c r="C256" s="38">
        <v>3.0</v>
      </c>
      <c r="D256" s="38">
        <v>3.0</v>
      </c>
      <c r="E256" s="38">
        <v>0.0</v>
      </c>
      <c r="F256" s="38">
        <v>2.0</v>
      </c>
      <c r="G256" s="38">
        <v>0.0</v>
      </c>
      <c r="H256" s="38">
        <v>1.0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38">
        <v>255.0</v>
      </c>
      <c r="B257" s="39" t="s">
        <v>286</v>
      </c>
      <c r="C257" s="38">
        <v>3.0</v>
      </c>
      <c r="D257" s="38">
        <v>3.0</v>
      </c>
      <c r="E257" s="38">
        <v>0.0</v>
      </c>
      <c r="F257" s="38">
        <v>2.0</v>
      </c>
      <c r="G257" s="38">
        <v>0.0</v>
      </c>
      <c r="H257" s="38">
        <v>1.0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38">
        <v>256.0</v>
      </c>
      <c r="B258" s="39" t="s">
        <v>287</v>
      </c>
      <c r="C258" s="38">
        <v>3.0</v>
      </c>
      <c r="D258" s="38">
        <v>6.0</v>
      </c>
      <c r="E258" s="38">
        <v>0.0</v>
      </c>
      <c r="F258" s="38">
        <v>3.0</v>
      </c>
      <c r="G258" s="38">
        <v>0.0</v>
      </c>
      <c r="H258" s="38">
        <v>3.0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38">
        <v>257.0</v>
      </c>
      <c r="B259" s="39" t="s">
        <v>288</v>
      </c>
      <c r="C259" s="38">
        <v>3.0</v>
      </c>
      <c r="D259" s="38">
        <v>2.0</v>
      </c>
      <c r="E259" s="38">
        <v>0.0</v>
      </c>
      <c r="F259" s="38">
        <v>1.0</v>
      </c>
      <c r="G259" s="38">
        <v>1.0</v>
      </c>
      <c r="H259" s="38">
        <v>0.0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38">
        <v>258.0</v>
      </c>
      <c r="B260" s="39" t="s">
        <v>289</v>
      </c>
      <c r="C260" s="38">
        <v>3.0</v>
      </c>
      <c r="D260" s="38">
        <v>2.0</v>
      </c>
      <c r="E260" s="38">
        <v>0.0</v>
      </c>
      <c r="F260" s="38">
        <v>1.0</v>
      </c>
      <c r="G260" s="38">
        <v>1.0</v>
      </c>
      <c r="H260" s="38">
        <v>0.0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8">
        <v>259.0</v>
      </c>
      <c r="B261" s="39" t="s">
        <v>290</v>
      </c>
      <c r="C261" s="38">
        <v>3.0</v>
      </c>
      <c r="D261" s="38">
        <v>2.0</v>
      </c>
      <c r="E261" s="38">
        <v>0.0</v>
      </c>
      <c r="F261" s="38">
        <v>1.0</v>
      </c>
      <c r="G261" s="38">
        <v>1.0</v>
      </c>
      <c r="H261" s="38">
        <v>0.0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38">
        <v>260.0</v>
      </c>
      <c r="B262" s="39" t="s">
        <v>291</v>
      </c>
      <c r="C262" s="38">
        <v>3.0</v>
      </c>
      <c r="D262" s="38">
        <v>2.0</v>
      </c>
      <c r="E262" s="38">
        <v>0.0</v>
      </c>
      <c r="F262" s="38">
        <v>1.0</v>
      </c>
      <c r="G262" s="38">
        <v>1.0</v>
      </c>
      <c r="H262" s="38">
        <v>0.0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8">
        <v>261.0</v>
      </c>
      <c r="B263" s="39" t="s">
        <v>292</v>
      </c>
      <c r="C263" s="38">
        <v>3.0</v>
      </c>
      <c r="D263" s="38">
        <v>3.0</v>
      </c>
      <c r="E263" s="38">
        <v>0.0</v>
      </c>
      <c r="F263" s="38">
        <v>2.0</v>
      </c>
      <c r="G263" s="38">
        <v>0.0</v>
      </c>
      <c r="H263" s="38">
        <v>1.0</v>
      </c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38">
        <v>262.0</v>
      </c>
      <c r="B264" s="39" t="s">
        <v>293</v>
      </c>
      <c r="C264" s="38">
        <v>3.0</v>
      </c>
      <c r="D264" s="38">
        <v>3.0</v>
      </c>
      <c r="E264" s="38">
        <v>0.0</v>
      </c>
      <c r="F264" s="38">
        <v>2.0</v>
      </c>
      <c r="G264" s="38">
        <v>0.0</v>
      </c>
      <c r="H264" s="38">
        <v>1.0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38">
        <v>263.0</v>
      </c>
      <c r="B265" s="39" t="s">
        <v>294</v>
      </c>
      <c r="C265" s="38">
        <v>3.0</v>
      </c>
      <c r="D265" s="38">
        <v>2.0</v>
      </c>
      <c r="E265" s="38">
        <v>0.0</v>
      </c>
      <c r="F265" s="38">
        <v>1.0</v>
      </c>
      <c r="G265" s="38">
        <v>1.0</v>
      </c>
      <c r="H265" s="38">
        <v>0.0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38">
        <v>264.0</v>
      </c>
      <c r="B266" s="39" t="s">
        <v>295</v>
      </c>
      <c r="C266" s="38">
        <v>3.0</v>
      </c>
      <c r="D266" s="38">
        <v>3.0</v>
      </c>
      <c r="E266" s="38">
        <v>0.0</v>
      </c>
      <c r="F266" s="38">
        <v>2.0</v>
      </c>
      <c r="G266" s="38">
        <v>0.0</v>
      </c>
      <c r="H266" s="38">
        <v>1.0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38">
        <v>265.0</v>
      </c>
      <c r="B267" s="39" t="s">
        <v>296</v>
      </c>
      <c r="C267" s="38">
        <v>3.0</v>
      </c>
      <c r="D267" s="38">
        <v>2.0</v>
      </c>
      <c r="E267" s="38">
        <v>0.0</v>
      </c>
      <c r="F267" s="38">
        <v>1.0</v>
      </c>
      <c r="G267" s="38">
        <v>1.0</v>
      </c>
      <c r="H267" s="38">
        <v>0.0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38">
        <v>266.0</v>
      </c>
      <c r="B268" s="39" t="s">
        <v>297</v>
      </c>
      <c r="C268" s="38">
        <v>3.0</v>
      </c>
      <c r="D268" s="38">
        <v>3.0</v>
      </c>
      <c r="E268" s="38">
        <v>0.0</v>
      </c>
      <c r="F268" s="38">
        <v>2.0</v>
      </c>
      <c r="G268" s="38">
        <v>0.0</v>
      </c>
      <c r="H268" s="38">
        <v>1.0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38">
        <v>267.0</v>
      </c>
      <c r="B269" s="39" t="s">
        <v>298</v>
      </c>
      <c r="C269" s="38">
        <v>3.0</v>
      </c>
      <c r="D269" s="38">
        <v>2.0</v>
      </c>
      <c r="E269" s="38">
        <v>0.0</v>
      </c>
      <c r="F269" s="38">
        <v>1.0</v>
      </c>
      <c r="G269" s="38">
        <v>1.0</v>
      </c>
      <c r="H269" s="38">
        <v>0.0</v>
      </c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38">
        <v>268.0</v>
      </c>
      <c r="B270" s="39" t="s">
        <v>299</v>
      </c>
      <c r="C270" s="38">
        <v>3.0</v>
      </c>
      <c r="D270" s="38">
        <v>3.0</v>
      </c>
      <c r="E270" s="38">
        <v>0.0</v>
      </c>
      <c r="F270" s="38">
        <v>2.0</v>
      </c>
      <c r="G270" s="38">
        <v>0.0</v>
      </c>
      <c r="H270" s="38">
        <v>1.0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38">
        <v>269.0</v>
      </c>
      <c r="B271" s="39" t="s">
        <v>300</v>
      </c>
      <c r="C271" s="38">
        <v>3.0</v>
      </c>
      <c r="D271" s="38">
        <v>3.0</v>
      </c>
      <c r="E271" s="38">
        <v>0.0</v>
      </c>
      <c r="F271" s="38">
        <v>2.0</v>
      </c>
      <c r="G271" s="38">
        <v>0.0</v>
      </c>
      <c r="H271" s="38">
        <v>1.0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38">
        <v>270.0</v>
      </c>
      <c r="B272" s="39" t="s">
        <v>301</v>
      </c>
      <c r="C272" s="38">
        <v>3.0</v>
      </c>
      <c r="D272" s="38">
        <v>72.0</v>
      </c>
      <c r="E272" s="38">
        <v>2.0</v>
      </c>
      <c r="F272" s="38">
        <v>21.0</v>
      </c>
      <c r="G272" s="38">
        <v>0.0</v>
      </c>
      <c r="H272" s="38">
        <v>49.0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38">
        <v>271.0</v>
      </c>
      <c r="B273" s="39" t="s">
        <v>302</v>
      </c>
      <c r="C273" s="38">
        <v>3.0</v>
      </c>
      <c r="D273" s="38">
        <v>2.0</v>
      </c>
      <c r="E273" s="38">
        <v>0.0</v>
      </c>
      <c r="F273" s="38">
        <v>1.0</v>
      </c>
      <c r="G273" s="38">
        <v>1.0</v>
      </c>
      <c r="H273" s="38">
        <v>0.0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38">
        <v>272.0</v>
      </c>
      <c r="B274" s="39" t="s">
        <v>303</v>
      </c>
      <c r="C274" s="38">
        <v>3.0</v>
      </c>
      <c r="D274" s="38">
        <v>2.0</v>
      </c>
      <c r="E274" s="38">
        <v>0.0</v>
      </c>
      <c r="F274" s="38">
        <v>1.0</v>
      </c>
      <c r="G274" s="38">
        <v>1.0</v>
      </c>
      <c r="H274" s="38">
        <v>0.0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38">
        <v>273.0</v>
      </c>
      <c r="B275" s="39" t="s">
        <v>304</v>
      </c>
      <c r="C275" s="38">
        <v>3.0</v>
      </c>
      <c r="D275" s="38">
        <v>3.0</v>
      </c>
      <c r="E275" s="38">
        <v>0.0</v>
      </c>
      <c r="F275" s="38">
        <v>2.0</v>
      </c>
      <c r="G275" s="38">
        <v>0.0</v>
      </c>
      <c r="H275" s="38">
        <v>1.0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38">
        <v>274.0</v>
      </c>
      <c r="B276" s="39" t="s">
        <v>305</v>
      </c>
      <c r="C276" s="38">
        <v>3.0</v>
      </c>
      <c r="D276" s="38">
        <v>4.0</v>
      </c>
      <c r="E276" s="38">
        <v>0.0</v>
      </c>
      <c r="F276" s="38">
        <v>1.0</v>
      </c>
      <c r="G276" s="38">
        <v>2.0</v>
      </c>
      <c r="H276" s="38">
        <v>1.0</v>
      </c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38">
        <v>275.0</v>
      </c>
      <c r="B277" s="39" t="s">
        <v>306</v>
      </c>
      <c r="C277" s="38">
        <v>3.0</v>
      </c>
      <c r="D277" s="38">
        <v>3.0</v>
      </c>
      <c r="E277" s="38">
        <v>0.0</v>
      </c>
      <c r="F277" s="38">
        <v>2.0</v>
      </c>
      <c r="G277" s="38">
        <v>0.0</v>
      </c>
      <c r="H277" s="38">
        <v>1.0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38">
        <v>276.0</v>
      </c>
      <c r="B278" s="39" t="s">
        <v>307</v>
      </c>
      <c r="C278" s="38">
        <v>3.0</v>
      </c>
      <c r="D278" s="38">
        <v>2.0</v>
      </c>
      <c r="E278" s="38">
        <v>0.0</v>
      </c>
      <c r="F278" s="38">
        <v>1.0</v>
      </c>
      <c r="G278" s="38">
        <v>1.0</v>
      </c>
      <c r="H278" s="38">
        <v>0.0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38">
        <v>277.0</v>
      </c>
      <c r="B279" s="39" t="s">
        <v>308</v>
      </c>
      <c r="C279" s="38">
        <v>3.0</v>
      </c>
      <c r="D279" s="38">
        <v>2.0</v>
      </c>
      <c r="E279" s="38">
        <v>0.0</v>
      </c>
      <c r="F279" s="38">
        <v>1.0</v>
      </c>
      <c r="G279" s="38">
        <v>1.0</v>
      </c>
      <c r="H279" s="38">
        <v>0.0</v>
      </c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38">
        <v>278.0</v>
      </c>
      <c r="B280" s="39" t="s">
        <v>309</v>
      </c>
      <c r="C280" s="38">
        <v>2.0</v>
      </c>
      <c r="D280" s="38">
        <v>3.0</v>
      </c>
      <c r="E280" s="38">
        <v>0.0</v>
      </c>
      <c r="F280" s="38">
        <v>1.0</v>
      </c>
      <c r="G280" s="38">
        <v>1.0</v>
      </c>
      <c r="H280" s="38">
        <v>1.0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38">
        <v>279.0</v>
      </c>
      <c r="B281" s="39" t="s">
        <v>310</v>
      </c>
      <c r="C281" s="38">
        <v>2.0</v>
      </c>
      <c r="D281" s="38">
        <v>3.0</v>
      </c>
      <c r="E281" s="38">
        <v>0.0</v>
      </c>
      <c r="F281" s="38">
        <v>1.0</v>
      </c>
      <c r="G281" s="38">
        <v>1.0</v>
      </c>
      <c r="H281" s="38">
        <v>1.0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8">
        <v>280.0</v>
      </c>
      <c r="B282" s="39" t="s">
        <v>311</v>
      </c>
      <c r="C282" s="38">
        <v>2.0</v>
      </c>
      <c r="D282" s="38">
        <v>6.0</v>
      </c>
      <c r="E282" s="38">
        <v>0.0</v>
      </c>
      <c r="F282" s="38">
        <v>2.0</v>
      </c>
      <c r="G282" s="38">
        <v>1.0</v>
      </c>
      <c r="H282" s="38">
        <v>3.0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38">
        <v>281.0</v>
      </c>
      <c r="B283" s="39" t="s">
        <v>312</v>
      </c>
      <c r="C283" s="38">
        <v>2.0</v>
      </c>
      <c r="D283" s="38">
        <v>4.0</v>
      </c>
      <c r="E283" s="38">
        <v>0.0</v>
      </c>
      <c r="F283" s="38">
        <v>2.0</v>
      </c>
      <c r="G283" s="38">
        <v>0.0</v>
      </c>
      <c r="H283" s="38">
        <v>2.0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38">
        <v>282.0</v>
      </c>
      <c r="B284" s="39" t="s">
        <v>313</v>
      </c>
      <c r="C284" s="38">
        <v>2.0</v>
      </c>
      <c r="D284" s="38">
        <v>4.0</v>
      </c>
      <c r="E284" s="38">
        <v>0.0</v>
      </c>
      <c r="F284" s="38">
        <v>2.0</v>
      </c>
      <c r="G284" s="38">
        <v>0.0</v>
      </c>
      <c r="H284" s="38">
        <v>2.0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38">
        <v>283.0</v>
      </c>
      <c r="B285" s="39" t="s">
        <v>314</v>
      </c>
      <c r="C285" s="38">
        <v>2.0</v>
      </c>
      <c r="D285" s="38">
        <v>4.0</v>
      </c>
      <c r="E285" s="38">
        <v>0.0</v>
      </c>
      <c r="F285" s="38">
        <v>2.0</v>
      </c>
      <c r="G285" s="38">
        <v>0.0</v>
      </c>
      <c r="H285" s="38">
        <v>2.0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8">
        <v>284.0</v>
      </c>
      <c r="B286" s="39" t="s">
        <v>315</v>
      </c>
      <c r="C286" s="38">
        <v>2.0</v>
      </c>
      <c r="D286" s="38">
        <v>5.0</v>
      </c>
      <c r="E286" s="38">
        <v>0.0</v>
      </c>
      <c r="F286" s="38">
        <v>1.0</v>
      </c>
      <c r="G286" s="38">
        <v>2.0</v>
      </c>
      <c r="H286" s="38">
        <v>2.0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38">
        <v>285.0</v>
      </c>
      <c r="B287" s="39" t="s">
        <v>316</v>
      </c>
      <c r="C287" s="38">
        <v>2.0</v>
      </c>
      <c r="D287" s="38">
        <v>22.0</v>
      </c>
      <c r="E287" s="38">
        <v>0.0</v>
      </c>
      <c r="F287" s="38">
        <v>8.0</v>
      </c>
      <c r="G287" s="38">
        <v>0.0</v>
      </c>
      <c r="H287" s="38">
        <v>14.0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38">
        <v>286.0</v>
      </c>
      <c r="B288" s="39" t="s">
        <v>317</v>
      </c>
      <c r="C288" s="38">
        <v>2.0</v>
      </c>
      <c r="D288" s="38">
        <v>3.0</v>
      </c>
      <c r="E288" s="38">
        <v>0.0</v>
      </c>
      <c r="F288" s="38">
        <v>1.0</v>
      </c>
      <c r="G288" s="38">
        <v>1.0</v>
      </c>
      <c r="H288" s="38">
        <v>1.0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38">
        <v>287.0</v>
      </c>
      <c r="B289" s="39" t="s">
        <v>318</v>
      </c>
      <c r="C289" s="38">
        <v>2.0</v>
      </c>
      <c r="D289" s="38">
        <v>4.0</v>
      </c>
      <c r="E289" s="38">
        <v>0.0</v>
      </c>
      <c r="F289" s="38">
        <v>2.0</v>
      </c>
      <c r="G289" s="38">
        <v>0.0</v>
      </c>
      <c r="H289" s="38">
        <v>2.0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38">
        <v>288.0</v>
      </c>
      <c r="B290" s="39" t="s">
        <v>319</v>
      </c>
      <c r="C290" s="38">
        <v>2.0</v>
      </c>
      <c r="D290" s="38">
        <v>2.0</v>
      </c>
      <c r="E290" s="38">
        <v>0.0</v>
      </c>
      <c r="F290" s="38">
        <v>0.0</v>
      </c>
      <c r="G290" s="38">
        <v>2.0</v>
      </c>
      <c r="H290" s="38">
        <v>0.0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38">
        <v>289.0</v>
      </c>
      <c r="B291" s="39" t="s">
        <v>320</v>
      </c>
      <c r="C291" s="38">
        <v>2.0</v>
      </c>
      <c r="D291" s="38">
        <v>4.0</v>
      </c>
      <c r="E291" s="38">
        <v>0.0</v>
      </c>
      <c r="F291" s="38">
        <v>2.0</v>
      </c>
      <c r="G291" s="38">
        <v>0.0</v>
      </c>
      <c r="H291" s="38">
        <v>2.0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38">
        <v>290.0</v>
      </c>
      <c r="B292" s="39" t="s">
        <v>321</v>
      </c>
      <c r="C292" s="38">
        <v>2.0</v>
      </c>
      <c r="D292" s="38">
        <v>3.0</v>
      </c>
      <c r="E292" s="38">
        <v>0.0</v>
      </c>
      <c r="F292" s="38">
        <v>1.0</v>
      </c>
      <c r="G292" s="38">
        <v>1.0</v>
      </c>
      <c r="H292" s="38">
        <v>1.0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38">
        <v>291.0</v>
      </c>
      <c r="B293" s="39" t="s">
        <v>322</v>
      </c>
      <c r="C293" s="38">
        <v>2.0</v>
      </c>
      <c r="D293" s="38">
        <v>7.0</v>
      </c>
      <c r="E293" s="38">
        <v>0.0</v>
      </c>
      <c r="F293" s="38">
        <v>3.0</v>
      </c>
      <c r="G293" s="38">
        <v>0.0</v>
      </c>
      <c r="H293" s="38">
        <v>4.0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38">
        <v>292.0</v>
      </c>
      <c r="B294" s="39" t="s">
        <v>323</v>
      </c>
      <c r="C294" s="38">
        <v>2.0</v>
      </c>
      <c r="D294" s="38">
        <v>2.0</v>
      </c>
      <c r="E294" s="38">
        <v>0.0</v>
      </c>
      <c r="F294" s="38">
        <v>0.0</v>
      </c>
      <c r="G294" s="38">
        <v>2.0</v>
      </c>
      <c r="H294" s="38">
        <v>0.0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38">
        <v>293.0</v>
      </c>
      <c r="B295" s="39" t="s">
        <v>324</v>
      </c>
      <c r="C295" s="38">
        <v>2.0</v>
      </c>
      <c r="D295" s="38">
        <v>16.0</v>
      </c>
      <c r="E295" s="38">
        <v>0.0</v>
      </c>
      <c r="F295" s="38">
        <v>4.0</v>
      </c>
      <c r="G295" s="38">
        <v>3.0</v>
      </c>
      <c r="H295" s="38">
        <v>9.0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38">
        <v>294.0</v>
      </c>
      <c r="B296" s="39" t="s">
        <v>325</v>
      </c>
      <c r="C296" s="38">
        <v>2.0</v>
      </c>
      <c r="D296" s="38">
        <v>4.0</v>
      </c>
      <c r="E296" s="38">
        <v>0.0</v>
      </c>
      <c r="F296" s="38">
        <v>2.0</v>
      </c>
      <c r="G296" s="38">
        <v>0.0</v>
      </c>
      <c r="H296" s="38">
        <v>2.0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38">
        <v>295.0</v>
      </c>
      <c r="B297" s="39" t="s">
        <v>326</v>
      </c>
      <c r="C297" s="38">
        <v>2.0</v>
      </c>
      <c r="D297" s="38">
        <v>7.0</v>
      </c>
      <c r="E297" s="38">
        <v>0.0</v>
      </c>
      <c r="F297" s="38">
        <v>3.0</v>
      </c>
      <c r="G297" s="38">
        <v>0.0</v>
      </c>
      <c r="H297" s="38">
        <v>4.0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38">
        <v>296.0</v>
      </c>
      <c r="B298" s="39" t="s">
        <v>327</v>
      </c>
      <c r="C298" s="38">
        <v>2.0</v>
      </c>
      <c r="D298" s="38">
        <v>5.0</v>
      </c>
      <c r="E298" s="38">
        <v>0.0</v>
      </c>
      <c r="F298" s="38">
        <v>1.0</v>
      </c>
      <c r="G298" s="38">
        <v>2.0</v>
      </c>
      <c r="H298" s="38">
        <v>2.0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38">
        <v>297.0</v>
      </c>
      <c r="B299" s="39" t="s">
        <v>328</v>
      </c>
      <c r="C299" s="38">
        <v>2.0</v>
      </c>
      <c r="D299" s="38">
        <v>3.0</v>
      </c>
      <c r="E299" s="38">
        <v>0.0</v>
      </c>
      <c r="F299" s="38">
        <v>1.0</v>
      </c>
      <c r="G299" s="38">
        <v>1.0</v>
      </c>
      <c r="H299" s="38">
        <v>1.0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38">
        <v>298.0</v>
      </c>
      <c r="B300" s="39" t="s">
        <v>329</v>
      </c>
      <c r="C300" s="38">
        <v>2.0</v>
      </c>
      <c r="D300" s="38">
        <v>4.0</v>
      </c>
      <c r="E300" s="38">
        <v>0.0</v>
      </c>
      <c r="F300" s="38">
        <v>2.0</v>
      </c>
      <c r="G300" s="38">
        <v>0.0</v>
      </c>
      <c r="H300" s="38">
        <v>2.0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38">
        <v>299.0</v>
      </c>
      <c r="B301" s="39" t="s">
        <v>330</v>
      </c>
      <c r="C301" s="38">
        <v>2.0</v>
      </c>
      <c r="D301" s="38">
        <v>3.0</v>
      </c>
      <c r="E301" s="38">
        <v>0.0</v>
      </c>
      <c r="F301" s="38">
        <v>1.0</v>
      </c>
      <c r="G301" s="38">
        <v>1.0</v>
      </c>
      <c r="H301" s="38">
        <v>1.0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38">
        <v>300.0</v>
      </c>
      <c r="B302" s="39" t="s">
        <v>331</v>
      </c>
      <c r="C302" s="38">
        <v>2.0</v>
      </c>
      <c r="D302" s="38">
        <v>3.0</v>
      </c>
      <c r="E302" s="38">
        <v>0.0</v>
      </c>
      <c r="F302" s="38">
        <v>1.0</v>
      </c>
      <c r="G302" s="38">
        <v>1.0</v>
      </c>
      <c r="H302" s="38">
        <v>1.0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38">
        <v>301.0</v>
      </c>
      <c r="B303" s="39" t="s">
        <v>332</v>
      </c>
      <c r="C303" s="38">
        <v>2.0</v>
      </c>
      <c r="D303" s="38">
        <v>3.0</v>
      </c>
      <c r="E303" s="38">
        <v>0.0</v>
      </c>
      <c r="F303" s="38">
        <v>1.0</v>
      </c>
      <c r="G303" s="38">
        <v>1.0</v>
      </c>
      <c r="H303" s="38">
        <v>1.0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38">
        <v>302.0</v>
      </c>
      <c r="B304" s="39" t="s">
        <v>333</v>
      </c>
      <c r="C304" s="38">
        <v>2.0</v>
      </c>
      <c r="D304" s="38">
        <v>3.0</v>
      </c>
      <c r="E304" s="38">
        <v>0.0</v>
      </c>
      <c r="F304" s="38">
        <v>1.0</v>
      </c>
      <c r="G304" s="38">
        <v>1.0</v>
      </c>
      <c r="H304" s="38">
        <v>1.0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8">
        <v>303.0</v>
      </c>
      <c r="B305" s="39" t="s">
        <v>334</v>
      </c>
      <c r="C305" s="38">
        <v>2.0</v>
      </c>
      <c r="D305" s="38">
        <v>6.0</v>
      </c>
      <c r="E305" s="38">
        <v>0.0</v>
      </c>
      <c r="F305" s="38">
        <v>2.0</v>
      </c>
      <c r="G305" s="38">
        <v>1.0</v>
      </c>
      <c r="H305" s="38">
        <v>3.0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38">
        <v>304.0</v>
      </c>
      <c r="B306" s="39" t="s">
        <v>335</v>
      </c>
      <c r="C306" s="38">
        <v>2.0</v>
      </c>
      <c r="D306" s="38">
        <v>4.0</v>
      </c>
      <c r="E306" s="38">
        <v>0.0</v>
      </c>
      <c r="F306" s="38">
        <v>2.0</v>
      </c>
      <c r="G306" s="38">
        <v>0.0</v>
      </c>
      <c r="H306" s="38">
        <v>2.0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38">
        <v>305.0</v>
      </c>
      <c r="B307" s="39" t="s">
        <v>336</v>
      </c>
      <c r="C307" s="38">
        <v>2.0</v>
      </c>
      <c r="D307" s="38">
        <v>3.0</v>
      </c>
      <c r="E307" s="38">
        <v>0.0</v>
      </c>
      <c r="F307" s="38">
        <v>1.0</v>
      </c>
      <c r="G307" s="38">
        <v>1.0</v>
      </c>
      <c r="H307" s="38">
        <v>1.0</v>
      </c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38">
        <v>306.0</v>
      </c>
      <c r="B308" s="39" t="s">
        <v>337</v>
      </c>
      <c r="C308" s="38">
        <v>2.0</v>
      </c>
      <c r="D308" s="38">
        <v>3.0</v>
      </c>
      <c r="E308" s="38">
        <v>0.0</v>
      </c>
      <c r="F308" s="38">
        <v>1.0</v>
      </c>
      <c r="G308" s="38">
        <v>1.0</v>
      </c>
      <c r="H308" s="38">
        <v>1.0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38">
        <v>307.0</v>
      </c>
      <c r="B309" s="39" t="s">
        <v>338</v>
      </c>
      <c r="C309" s="38">
        <v>2.0</v>
      </c>
      <c r="D309" s="38">
        <v>3.0</v>
      </c>
      <c r="E309" s="38">
        <v>0.0</v>
      </c>
      <c r="F309" s="38">
        <v>1.0</v>
      </c>
      <c r="G309" s="38">
        <v>1.0</v>
      </c>
      <c r="H309" s="38">
        <v>1.0</v>
      </c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38">
        <v>308.0</v>
      </c>
      <c r="B310" s="39" t="s">
        <v>339</v>
      </c>
      <c r="C310" s="38">
        <v>2.0</v>
      </c>
      <c r="D310" s="38">
        <v>4.0</v>
      </c>
      <c r="E310" s="38">
        <v>0.0</v>
      </c>
      <c r="F310" s="38">
        <v>2.0</v>
      </c>
      <c r="G310" s="38">
        <v>0.0</v>
      </c>
      <c r="H310" s="38">
        <v>2.0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38">
        <v>309.0</v>
      </c>
      <c r="B311" s="39" t="s">
        <v>340</v>
      </c>
      <c r="C311" s="38">
        <v>2.0</v>
      </c>
      <c r="D311" s="38">
        <v>4.0</v>
      </c>
      <c r="E311" s="38">
        <v>0.0</v>
      </c>
      <c r="F311" s="38">
        <v>2.0</v>
      </c>
      <c r="G311" s="38">
        <v>0.0</v>
      </c>
      <c r="H311" s="38">
        <v>2.0</v>
      </c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38">
        <v>310.0</v>
      </c>
      <c r="B312" s="39" t="s">
        <v>341</v>
      </c>
      <c r="C312" s="38">
        <v>2.0</v>
      </c>
      <c r="D312" s="38">
        <v>2.0</v>
      </c>
      <c r="E312" s="38">
        <v>0.0</v>
      </c>
      <c r="F312" s="38">
        <v>0.0</v>
      </c>
      <c r="G312" s="38">
        <v>2.0</v>
      </c>
      <c r="H312" s="38">
        <v>0.0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38">
        <v>311.0</v>
      </c>
      <c r="B313" s="39" t="s">
        <v>342</v>
      </c>
      <c r="C313" s="38">
        <v>2.0</v>
      </c>
      <c r="D313" s="38">
        <v>2.0</v>
      </c>
      <c r="E313" s="38">
        <v>0.0</v>
      </c>
      <c r="F313" s="38">
        <v>0.0</v>
      </c>
      <c r="G313" s="38">
        <v>2.0</v>
      </c>
      <c r="H313" s="38">
        <v>0.0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38">
        <v>312.0</v>
      </c>
      <c r="B314" s="39" t="s">
        <v>343</v>
      </c>
      <c r="C314" s="38">
        <v>2.0</v>
      </c>
      <c r="D314" s="38">
        <v>4.0</v>
      </c>
      <c r="E314" s="38">
        <v>0.0</v>
      </c>
      <c r="F314" s="38">
        <v>2.0</v>
      </c>
      <c r="G314" s="38">
        <v>0.0</v>
      </c>
      <c r="H314" s="38">
        <v>2.0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38">
        <v>313.0</v>
      </c>
      <c r="B315" s="39" t="s">
        <v>344</v>
      </c>
      <c r="C315" s="38">
        <v>2.0</v>
      </c>
      <c r="D315" s="38">
        <v>2.0</v>
      </c>
      <c r="E315" s="38">
        <v>0.0</v>
      </c>
      <c r="F315" s="38">
        <v>0.0</v>
      </c>
      <c r="G315" s="38">
        <v>2.0</v>
      </c>
      <c r="H315" s="38">
        <v>0.0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38">
        <v>314.0</v>
      </c>
      <c r="B316" s="39" t="s">
        <v>345</v>
      </c>
      <c r="C316" s="38">
        <v>2.0</v>
      </c>
      <c r="D316" s="38">
        <v>3.0</v>
      </c>
      <c r="E316" s="38">
        <v>0.0</v>
      </c>
      <c r="F316" s="38">
        <v>1.0</v>
      </c>
      <c r="G316" s="38">
        <v>1.0</v>
      </c>
      <c r="H316" s="38">
        <v>1.0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38">
        <v>315.0</v>
      </c>
      <c r="B317" s="39" t="s">
        <v>346</v>
      </c>
      <c r="C317" s="38">
        <v>2.0</v>
      </c>
      <c r="D317" s="38">
        <v>18.0</v>
      </c>
      <c r="E317" s="38">
        <v>0.0</v>
      </c>
      <c r="F317" s="38">
        <v>6.0</v>
      </c>
      <c r="G317" s="38">
        <v>1.0</v>
      </c>
      <c r="H317" s="38">
        <v>11.0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38">
        <v>316.0</v>
      </c>
      <c r="B318" s="39" t="s">
        <v>347</v>
      </c>
      <c r="C318" s="38">
        <v>2.0</v>
      </c>
      <c r="D318" s="38">
        <v>33.0</v>
      </c>
      <c r="E318" s="38">
        <v>0.0</v>
      </c>
      <c r="F318" s="38">
        <v>9.0</v>
      </c>
      <c r="G318" s="38">
        <v>4.0</v>
      </c>
      <c r="H318" s="38">
        <v>20.0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38">
        <v>317.0</v>
      </c>
      <c r="B319" s="39" t="s">
        <v>348</v>
      </c>
      <c r="C319" s="38">
        <v>2.0</v>
      </c>
      <c r="D319" s="38">
        <v>3.0</v>
      </c>
      <c r="E319" s="38">
        <v>0.0</v>
      </c>
      <c r="F319" s="38">
        <v>1.0</v>
      </c>
      <c r="G319" s="38">
        <v>1.0</v>
      </c>
      <c r="H319" s="38">
        <v>1.0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38">
        <v>318.0</v>
      </c>
      <c r="B320" s="39" t="s">
        <v>349</v>
      </c>
      <c r="C320" s="38">
        <v>2.0</v>
      </c>
      <c r="D320" s="38">
        <v>3.0</v>
      </c>
      <c r="E320" s="38">
        <v>0.0</v>
      </c>
      <c r="F320" s="38">
        <v>1.0</v>
      </c>
      <c r="G320" s="38">
        <v>1.0</v>
      </c>
      <c r="H320" s="38">
        <v>1.0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38">
        <v>319.0</v>
      </c>
      <c r="B321" s="39" t="s">
        <v>350</v>
      </c>
      <c r="C321" s="38">
        <v>2.0</v>
      </c>
      <c r="D321" s="38">
        <v>2.0</v>
      </c>
      <c r="E321" s="38">
        <v>0.0</v>
      </c>
      <c r="F321" s="38">
        <v>0.0</v>
      </c>
      <c r="G321" s="38">
        <v>2.0</v>
      </c>
      <c r="H321" s="38">
        <v>0.0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38">
        <v>320.0</v>
      </c>
      <c r="B322" s="39" t="s">
        <v>351</v>
      </c>
      <c r="C322" s="38">
        <v>2.0</v>
      </c>
      <c r="D322" s="38">
        <v>5.0</v>
      </c>
      <c r="E322" s="38">
        <v>0.0</v>
      </c>
      <c r="F322" s="38">
        <v>1.0</v>
      </c>
      <c r="G322" s="38">
        <v>2.0</v>
      </c>
      <c r="H322" s="38">
        <v>2.0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38">
        <v>321.0</v>
      </c>
      <c r="B323" s="39" t="s">
        <v>352</v>
      </c>
      <c r="C323" s="38">
        <v>2.0</v>
      </c>
      <c r="D323" s="38">
        <v>3.0</v>
      </c>
      <c r="E323" s="38">
        <v>0.0</v>
      </c>
      <c r="F323" s="38">
        <v>1.0</v>
      </c>
      <c r="G323" s="38">
        <v>1.0</v>
      </c>
      <c r="H323" s="38">
        <v>1.0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38">
        <v>322.0</v>
      </c>
      <c r="B324" s="39" t="s">
        <v>353</v>
      </c>
      <c r="C324" s="38">
        <v>2.0</v>
      </c>
      <c r="D324" s="38">
        <v>3.0</v>
      </c>
      <c r="E324" s="38">
        <v>0.0</v>
      </c>
      <c r="F324" s="38">
        <v>1.0</v>
      </c>
      <c r="G324" s="38">
        <v>1.0</v>
      </c>
      <c r="H324" s="38">
        <v>1.0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38">
        <v>323.0</v>
      </c>
      <c r="B325" s="39" t="s">
        <v>354</v>
      </c>
      <c r="C325" s="38">
        <v>2.0</v>
      </c>
      <c r="D325" s="38">
        <v>4.0</v>
      </c>
      <c r="E325" s="38">
        <v>0.0</v>
      </c>
      <c r="F325" s="38">
        <v>2.0</v>
      </c>
      <c r="G325" s="38">
        <v>0.0</v>
      </c>
      <c r="H325" s="38">
        <v>2.0</v>
      </c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38">
        <v>324.0</v>
      </c>
      <c r="B326" s="39" t="s">
        <v>355</v>
      </c>
      <c r="C326" s="38">
        <v>1.0</v>
      </c>
      <c r="D326" s="38">
        <v>2.0</v>
      </c>
      <c r="E326" s="38">
        <v>0.0</v>
      </c>
      <c r="F326" s="38">
        <v>1.0</v>
      </c>
      <c r="G326" s="38">
        <v>0.0</v>
      </c>
      <c r="H326" s="38">
        <v>1.0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38">
        <v>325.0</v>
      </c>
      <c r="B327" s="39" t="s">
        <v>356</v>
      </c>
      <c r="C327" s="38">
        <v>1.0</v>
      </c>
      <c r="D327" s="38">
        <v>3.0</v>
      </c>
      <c r="E327" s="38">
        <v>0.0</v>
      </c>
      <c r="F327" s="38">
        <v>0.0</v>
      </c>
      <c r="G327" s="38">
        <v>2.0</v>
      </c>
      <c r="H327" s="38">
        <v>1.0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38">
        <v>326.0</v>
      </c>
      <c r="B328" s="39" t="s">
        <v>357</v>
      </c>
      <c r="C328" s="38">
        <v>1.0</v>
      </c>
      <c r="D328" s="38">
        <v>2.0</v>
      </c>
      <c r="E328" s="38">
        <v>0.0</v>
      </c>
      <c r="F328" s="38">
        <v>1.0</v>
      </c>
      <c r="G328" s="38">
        <v>0.0</v>
      </c>
      <c r="H328" s="38">
        <v>1.0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38">
        <v>327.0</v>
      </c>
      <c r="B329" s="39" t="s">
        <v>358</v>
      </c>
      <c r="C329" s="38">
        <v>1.0</v>
      </c>
      <c r="D329" s="38">
        <v>2.0</v>
      </c>
      <c r="E329" s="38">
        <v>0.0</v>
      </c>
      <c r="F329" s="38">
        <v>1.0</v>
      </c>
      <c r="G329" s="38">
        <v>0.0</v>
      </c>
      <c r="H329" s="38">
        <v>1.0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38">
        <v>328.0</v>
      </c>
      <c r="B330" s="39" t="s">
        <v>359</v>
      </c>
      <c r="C330" s="38">
        <v>1.0</v>
      </c>
      <c r="D330" s="38">
        <v>2.0</v>
      </c>
      <c r="E330" s="38">
        <v>0.0</v>
      </c>
      <c r="F330" s="38">
        <v>1.0</v>
      </c>
      <c r="G330" s="38">
        <v>0.0</v>
      </c>
      <c r="H330" s="38">
        <v>1.0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38">
        <v>329.0</v>
      </c>
      <c r="B331" s="39" t="s">
        <v>360</v>
      </c>
      <c r="C331" s="38">
        <v>1.0</v>
      </c>
      <c r="D331" s="38">
        <v>2.0</v>
      </c>
      <c r="E331" s="38">
        <v>0.0</v>
      </c>
      <c r="F331" s="38">
        <v>1.0</v>
      </c>
      <c r="G331" s="38">
        <v>0.0</v>
      </c>
      <c r="H331" s="38">
        <v>1.0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38">
        <v>330.0</v>
      </c>
      <c r="B332" s="39" t="s">
        <v>361</v>
      </c>
      <c r="C332" s="38">
        <v>1.0</v>
      </c>
      <c r="D332" s="38">
        <v>2.0</v>
      </c>
      <c r="E332" s="38">
        <v>0.0</v>
      </c>
      <c r="F332" s="38">
        <v>1.0</v>
      </c>
      <c r="G332" s="38">
        <v>0.0</v>
      </c>
      <c r="H332" s="38">
        <v>1.0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38">
        <v>331.0</v>
      </c>
      <c r="B333" s="39" t="s">
        <v>362</v>
      </c>
      <c r="C333" s="38">
        <v>1.0</v>
      </c>
      <c r="D333" s="38">
        <v>4.0</v>
      </c>
      <c r="E333" s="38">
        <v>0.0</v>
      </c>
      <c r="F333" s="38">
        <v>1.0</v>
      </c>
      <c r="G333" s="38">
        <v>1.0</v>
      </c>
      <c r="H333" s="38">
        <v>2.0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38">
        <v>332.0</v>
      </c>
      <c r="B334" s="39" t="s">
        <v>363</v>
      </c>
      <c r="C334" s="38">
        <v>1.0</v>
      </c>
      <c r="D334" s="38">
        <v>7.0</v>
      </c>
      <c r="E334" s="38">
        <v>0.0</v>
      </c>
      <c r="F334" s="38">
        <v>0.0</v>
      </c>
      <c r="G334" s="38">
        <v>4.0</v>
      </c>
      <c r="H334" s="38">
        <v>3.0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38">
        <v>333.0</v>
      </c>
      <c r="B335" s="39" t="s">
        <v>364</v>
      </c>
      <c r="C335" s="38">
        <v>1.0</v>
      </c>
      <c r="D335" s="38">
        <v>2.0</v>
      </c>
      <c r="E335" s="38">
        <v>0.0</v>
      </c>
      <c r="F335" s="38">
        <v>1.0</v>
      </c>
      <c r="G335" s="38">
        <v>0.0</v>
      </c>
      <c r="H335" s="38">
        <v>1.0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38">
        <v>334.0</v>
      </c>
      <c r="B336" s="39" t="s">
        <v>365</v>
      </c>
      <c r="C336" s="38">
        <v>1.0</v>
      </c>
      <c r="D336" s="38">
        <v>2.0</v>
      </c>
      <c r="E336" s="38">
        <v>0.0</v>
      </c>
      <c r="F336" s="38">
        <v>1.0</v>
      </c>
      <c r="G336" s="38">
        <v>0.0</v>
      </c>
      <c r="H336" s="38">
        <v>1.0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38">
        <v>335.0</v>
      </c>
      <c r="B337" s="39" t="s">
        <v>366</v>
      </c>
      <c r="C337" s="38">
        <v>1.0</v>
      </c>
      <c r="D337" s="38">
        <v>2.0</v>
      </c>
      <c r="E337" s="38">
        <v>0.0</v>
      </c>
      <c r="F337" s="38">
        <v>1.0</v>
      </c>
      <c r="G337" s="38">
        <v>0.0</v>
      </c>
      <c r="H337" s="38">
        <v>1.0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38">
        <v>336.0</v>
      </c>
      <c r="B338" s="39" t="s">
        <v>367</v>
      </c>
      <c r="C338" s="38">
        <v>1.0</v>
      </c>
      <c r="D338" s="38">
        <v>4.0</v>
      </c>
      <c r="E338" s="38">
        <v>0.0</v>
      </c>
      <c r="F338" s="38">
        <v>1.0</v>
      </c>
      <c r="G338" s="38">
        <v>1.0</v>
      </c>
      <c r="H338" s="38">
        <v>2.0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38">
        <v>337.0</v>
      </c>
      <c r="B339" s="39" t="s">
        <v>368</v>
      </c>
      <c r="C339" s="38">
        <v>1.0</v>
      </c>
      <c r="D339" s="38">
        <v>2.0</v>
      </c>
      <c r="E339" s="38">
        <v>0.0</v>
      </c>
      <c r="F339" s="38">
        <v>1.0</v>
      </c>
      <c r="G339" s="38">
        <v>0.0</v>
      </c>
      <c r="H339" s="38">
        <v>1.0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38">
        <v>338.0</v>
      </c>
      <c r="B340" s="39" t="s">
        <v>369</v>
      </c>
      <c r="C340" s="38">
        <v>1.0</v>
      </c>
      <c r="D340" s="38">
        <v>2.0</v>
      </c>
      <c r="E340" s="38">
        <v>0.0</v>
      </c>
      <c r="F340" s="38">
        <v>1.0</v>
      </c>
      <c r="G340" s="38">
        <v>0.0</v>
      </c>
      <c r="H340" s="38">
        <v>1.0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38">
        <v>339.0</v>
      </c>
      <c r="B341" s="39" t="s">
        <v>370</v>
      </c>
      <c r="C341" s="38">
        <v>1.0</v>
      </c>
      <c r="D341" s="38">
        <v>2.0</v>
      </c>
      <c r="E341" s="38">
        <v>0.0</v>
      </c>
      <c r="F341" s="38">
        <v>1.0</v>
      </c>
      <c r="G341" s="38">
        <v>0.0</v>
      </c>
      <c r="H341" s="38">
        <v>1.0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38">
        <v>340.0</v>
      </c>
      <c r="B342" s="39" t="s">
        <v>371</v>
      </c>
      <c r="C342" s="38">
        <v>1.0</v>
      </c>
      <c r="D342" s="38">
        <v>2.0</v>
      </c>
      <c r="E342" s="38">
        <v>0.0</v>
      </c>
      <c r="F342" s="38">
        <v>1.0</v>
      </c>
      <c r="G342" s="38">
        <v>0.0</v>
      </c>
      <c r="H342" s="38">
        <v>1.0</v>
      </c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38">
        <v>341.0</v>
      </c>
      <c r="B343" s="39" t="s">
        <v>372</v>
      </c>
      <c r="C343" s="38">
        <v>1.0</v>
      </c>
      <c r="D343" s="38">
        <v>2.0</v>
      </c>
      <c r="E343" s="38">
        <v>0.0</v>
      </c>
      <c r="F343" s="38">
        <v>1.0</v>
      </c>
      <c r="G343" s="38">
        <v>0.0</v>
      </c>
      <c r="H343" s="38">
        <v>1.0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38">
        <v>342.0</v>
      </c>
      <c r="B344" s="39" t="s">
        <v>373</v>
      </c>
      <c r="C344" s="38">
        <v>1.0</v>
      </c>
      <c r="D344" s="38">
        <v>2.0</v>
      </c>
      <c r="E344" s="38">
        <v>0.0</v>
      </c>
      <c r="F344" s="38">
        <v>1.0</v>
      </c>
      <c r="G344" s="38">
        <v>0.0</v>
      </c>
      <c r="H344" s="38">
        <v>1.0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38">
        <v>343.0</v>
      </c>
      <c r="B345" s="39" t="s">
        <v>374</v>
      </c>
      <c r="C345" s="38">
        <v>1.0</v>
      </c>
      <c r="D345" s="38">
        <v>2.0</v>
      </c>
      <c r="E345" s="38">
        <v>0.0</v>
      </c>
      <c r="F345" s="38">
        <v>1.0</v>
      </c>
      <c r="G345" s="38">
        <v>0.0</v>
      </c>
      <c r="H345" s="38">
        <v>1.0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38">
        <v>344.0</v>
      </c>
      <c r="B346" s="39" t="s">
        <v>375</v>
      </c>
      <c r="C346" s="38">
        <v>1.0</v>
      </c>
      <c r="D346" s="38">
        <v>2.0</v>
      </c>
      <c r="E346" s="38">
        <v>0.0</v>
      </c>
      <c r="F346" s="38">
        <v>1.0</v>
      </c>
      <c r="G346" s="38">
        <v>0.0</v>
      </c>
      <c r="H346" s="38">
        <v>1.0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38">
        <v>345.0</v>
      </c>
      <c r="B347" s="39" t="s">
        <v>376</v>
      </c>
      <c r="C347" s="38">
        <v>1.0</v>
      </c>
      <c r="D347" s="38">
        <v>11.0</v>
      </c>
      <c r="E347" s="38">
        <v>0.0</v>
      </c>
      <c r="F347" s="38">
        <v>4.0</v>
      </c>
      <c r="G347" s="38">
        <v>0.0</v>
      </c>
      <c r="H347" s="38">
        <v>7.0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38">
        <v>346.0</v>
      </c>
      <c r="B348" s="39" t="s">
        <v>377</v>
      </c>
      <c r="C348" s="38">
        <v>1.0</v>
      </c>
      <c r="D348" s="38">
        <v>2.0</v>
      </c>
      <c r="E348" s="38">
        <v>0.0</v>
      </c>
      <c r="F348" s="38">
        <v>1.0</v>
      </c>
      <c r="G348" s="38">
        <v>0.0</v>
      </c>
      <c r="H348" s="38">
        <v>1.0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38">
        <v>347.0</v>
      </c>
      <c r="B349" s="39" t="s">
        <v>378</v>
      </c>
      <c r="C349" s="38">
        <v>1.0</v>
      </c>
      <c r="D349" s="38">
        <v>2.0</v>
      </c>
      <c r="E349" s="38">
        <v>0.0</v>
      </c>
      <c r="F349" s="38">
        <v>1.0</v>
      </c>
      <c r="G349" s="38">
        <v>0.0</v>
      </c>
      <c r="H349" s="38">
        <v>1.0</v>
      </c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38">
        <v>348.0</v>
      </c>
      <c r="B350" s="39" t="s">
        <v>379</v>
      </c>
      <c r="C350" s="38">
        <v>1.0</v>
      </c>
      <c r="D350" s="38">
        <v>2.0</v>
      </c>
      <c r="E350" s="38">
        <v>0.0</v>
      </c>
      <c r="F350" s="38">
        <v>1.0</v>
      </c>
      <c r="G350" s="38">
        <v>0.0</v>
      </c>
      <c r="H350" s="38">
        <v>1.0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38">
        <v>349.0</v>
      </c>
      <c r="B351" s="39" t="s">
        <v>380</v>
      </c>
      <c r="C351" s="38">
        <v>1.0</v>
      </c>
      <c r="D351" s="38">
        <v>4.0</v>
      </c>
      <c r="E351" s="38">
        <v>0.0</v>
      </c>
      <c r="F351" s="38">
        <v>1.0</v>
      </c>
      <c r="G351" s="38">
        <v>1.0</v>
      </c>
      <c r="H351" s="38">
        <v>2.0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38">
        <v>350.0</v>
      </c>
      <c r="B352" s="39" t="s">
        <v>381</v>
      </c>
      <c r="C352" s="38">
        <v>1.0</v>
      </c>
      <c r="D352" s="38">
        <v>2.0</v>
      </c>
      <c r="E352" s="38">
        <v>0.0</v>
      </c>
      <c r="F352" s="38">
        <v>1.0</v>
      </c>
      <c r="G352" s="38">
        <v>0.0</v>
      </c>
      <c r="H352" s="38">
        <v>1.0</v>
      </c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38">
        <v>351.0</v>
      </c>
      <c r="B353" s="39" t="s">
        <v>382</v>
      </c>
      <c r="C353" s="38">
        <v>1.0</v>
      </c>
      <c r="D353" s="38">
        <v>2.0</v>
      </c>
      <c r="E353" s="38">
        <v>0.0</v>
      </c>
      <c r="F353" s="38">
        <v>1.0</v>
      </c>
      <c r="G353" s="38">
        <v>0.0</v>
      </c>
      <c r="H353" s="38">
        <v>1.0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38">
        <v>352.0</v>
      </c>
      <c r="B354" s="39" t="s">
        <v>383</v>
      </c>
      <c r="C354" s="38">
        <v>1.0</v>
      </c>
      <c r="D354" s="38">
        <v>2.0</v>
      </c>
      <c r="E354" s="38">
        <v>0.0</v>
      </c>
      <c r="F354" s="38">
        <v>1.0</v>
      </c>
      <c r="G354" s="38">
        <v>0.0</v>
      </c>
      <c r="H354" s="38">
        <v>1.0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38">
        <v>353.0</v>
      </c>
      <c r="B355" s="39" t="s">
        <v>384</v>
      </c>
      <c r="C355" s="38">
        <v>1.0</v>
      </c>
      <c r="D355" s="38">
        <v>2.0</v>
      </c>
      <c r="E355" s="38">
        <v>0.0</v>
      </c>
      <c r="F355" s="38">
        <v>1.0</v>
      </c>
      <c r="G355" s="38">
        <v>0.0</v>
      </c>
      <c r="H355" s="38">
        <v>1.0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38">
        <v>354.0</v>
      </c>
      <c r="B356" s="39" t="s">
        <v>385</v>
      </c>
      <c r="C356" s="38">
        <v>1.0</v>
      </c>
      <c r="D356" s="38">
        <v>2.0</v>
      </c>
      <c r="E356" s="38">
        <v>0.0</v>
      </c>
      <c r="F356" s="38">
        <v>1.0</v>
      </c>
      <c r="G356" s="38">
        <v>0.0</v>
      </c>
      <c r="H356" s="38">
        <v>1.0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38">
        <v>355.0</v>
      </c>
      <c r="B357" s="39" t="s">
        <v>386</v>
      </c>
      <c r="C357" s="38">
        <v>1.0</v>
      </c>
      <c r="D357" s="38">
        <v>5.0</v>
      </c>
      <c r="E357" s="38">
        <v>0.0</v>
      </c>
      <c r="F357" s="38">
        <v>2.0</v>
      </c>
      <c r="G357" s="38">
        <v>0.0</v>
      </c>
      <c r="H357" s="38">
        <v>3.0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38">
        <v>356.0</v>
      </c>
      <c r="B358" s="39" t="s">
        <v>387</v>
      </c>
      <c r="C358" s="38">
        <v>1.0</v>
      </c>
      <c r="D358" s="38">
        <v>2.0</v>
      </c>
      <c r="E358" s="38">
        <v>0.0</v>
      </c>
      <c r="F358" s="38">
        <v>1.0</v>
      </c>
      <c r="G358" s="38">
        <v>0.0</v>
      </c>
      <c r="H358" s="38">
        <v>1.0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38">
        <v>357.0</v>
      </c>
      <c r="B359" s="39" t="s">
        <v>388</v>
      </c>
      <c r="C359" s="38">
        <v>1.0</v>
      </c>
      <c r="D359" s="38">
        <v>2.0</v>
      </c>
      <c r="E359" s="38">
        <v>0.0</v>
      </c>
      <c r="F359" s="38">
        <v>1.0</v>
      </c>
      <c r="G359" s="38">
        <v>0.0</v>
      </c>
      <c r="H359" s="38">
        <v>1.0</v>
      </c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38">
        <v>358.0</v>
      </c>
      <c r="B360" s="39" t="s">
        <v>389</v>
      </c>
      <c r="C360" s="38">
        <v>1.0</v>
      </c>
      <c r="D360" s="38">
        <v>2.0</v>
      </c>
      <c r="E360" s="38">
        <v>0.0</v>
      </c>
      <c r="F360" s="38">
        <v>1.0</v>
      </c>
      <c r="G360" s="38">
        <v>0.0</v>
      </c>
      <c r="H360" s="38">
        <v>1.0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38">
        <v>359.0</v>
      </c>
      <c r="B361" s="39" t="s">
        <v>390</v>
      </c>
      <c r="C361" s="38">
        <v>1.0</v>
      </c>
      <c r="D361" s="38">
        <v>2.0</v>
      </c>
      <c r="E361" s="38">
        <v>0.0</v>
      </c>
      <c r="F361" s="38">
        <v>1.0</v>
      </c>
      <c r="G361" s="38">
        <v>0.0</v>
      </c>
      <c r="H361" s="38">
        <v>1.0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38">
        <v>360.0</v>
      </c>
      <c r="B362" s="39" t="s">
        <v>391</v>
      </c>
      <c r="C362" s="38">
        <v>1.0</v>
      </c>
      <c r="D362" s="38">
        <v>2.0</v>
      </c>
      <c r="E362" s="38">
        <v>0.0</v>
      </c>
      <c r="F362" s="38">
        <v>1.0</v>
      </c>
      <c r="G362" s="38">
        <v>0.0</v>
      </c>
      <c r="H362" s="38">
        <v>1.0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38">
        <v>361.0</v>
      </c>
      <c r="B363" s="39" t="s">
        <v>392</v>
      </c>
      <c r="C363" s="38">
        <v>1.0</v>
      </c>
      <c r="D363" s="38">
        <v>2.0</v>
      </c>
      <c r="E363" s="38">
        <v>0.0</v>
      </c>
      <c r="F363" s="38">
        <v>1.0</v>
      </c>
      <c r="G363" s="38">
        <v>0.0</v>
      </c>
      <c r="H363" s="38">
        <v>1.0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38">
        <v>362.0</v>
      </c>
      <c r="B364" s="39" t="s">
        <v>393</v>
      </c>
      <c r="C364" s="38">
        <v>1.0</v>
      </c>
      <c r="D364" s="38">
        <v>2.0</v>
      </c>
      <c r="E364" s="38">
        <v>0.0</v>
      </c>
      <c r="F364" s="38">
        <v>1.0</v>
      </c>
      <c r="G364" s="38">
        <v>0.0</v>
      </c>
      <c r="H364" s="38">
        <v>1.0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38">
        <v>363.0</v>
      </c>
      <c r="B365" s="39" t="s">
        <v>394</v>
      </c>
      <c r="C365" s="38">
        <v>1.0</v>
      </c>
      <c r="D365" s="38">
        <v>2.0</v>
      </c>
      <c r="E365" s="38">
        <v>0.0</v>
      </c>
      <c r="F365" s="38">
        <v>1.0</v>
      </c>
      <c r="G365" s="38">
        <v>0.0</v>
      </c>
      <c r="H365" s="38">
        <v>1.0</v>
      </c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38">
        <v>364.0</v>
      </c>
      <c r="B366" s="39" t="s">
        <v>395</v>
      </c>
      <c r="C366" s="38">
        <v>1.0</v>
      </c>
      <c r="D366" s="38">
        <v>2.0</v>
      </c>
      <c r="E366" s="38">
        <v>0.0</v>
      </c>
      <c r="F366" s="38">
        <v>1.0</v>
      </c>
      <c r="G366" s="38">
        <v>0.0</v>
      </c>
      <c r="H366" s="38">
        <v>1.0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38">
        <v>365.0</v>
      </c>
      <c r="B367" s="39" t="s">
        <v>396</v>
      </c>
      <c r="C367" s="38">
        <v>1.0</v>
      </c>
      <c r="D367" s="38">
        <v>2.0</v>
      </c>
      <c r="E367" s="38">
        <v>0.0</v>
      </c>
      <c r="F367" s="38">
        <v>1.0</v>
      </c>
      <c r="G367" s="38">
        <v>0.0</v>
      </c>
      <c r="H367" s="38">
        <v>1.0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38">
        <v>366.0</v>
      </c>
      <c r="B368" s="39" t="s">
        <v>397</v>
      </c>
      <c r="C368" s="38">
        <v>1.0</v>
      </c>
      <c r="D368" s="38">
        <v>2.0</v>
      </c>
      <c r="E368" s="38">
        <v>0.0</v>
      </c>
      <c r="F368" s="38">
        <v>1.0</v>
      </c>
      <c r="G368" s="38">
        <v>0.0</v>
      </c>
      <c r="H368" s="38">
        <v>1.0</v>
      </c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38">
        <v>367.0</v>
      </c>
      <c r="B369" s="39" t="s">
        <v>398</v>
      </c>
      <c r="C369" s="38">
        <v>1.0</v>
      </c>
      <c r="D369" s="38">
        <v>4.0</v>
      </c>
      <c r="E369" s="38">
        <v>0.0</v>
      </c>
      <c r="F369" s="38">
        <v>1.0</v>
      </c>
      <c r="G369" s="38">
        <v>1.0</v>
      </c>
      <c r="H369" s="38">
        <v>2.0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38">
        <v>368.0</v>
      </c>
      <c r="B370" s="39" t="s">
        <v>399</v>
      </c>
      <c r="C370" s="38">
        <v>1.0</v>
      </c>
      <c r="D370" s="38">
        <v>2.0</v>
      </c>
      <c r="E370" s="38">
        <v>0.0</v>
      </c>
      <c r="F370" s="38">
        <v>1.0</v>
      </c>
      <c r="G370" s="38">
        <v>0.0</v>
      </c>
      <c r="H370" s="38">
        <v>1.0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38">
        <v>369.0</v>
      </c>
      <c r="B371" s="39" t="s">
        <v>400</v>
      </c>
      <c r="C371" s="38">
        <v>1.0</v>
      </c>
      <c r="D371" s="38">
        <v>2.0</v>
      </c>
      <c r="E371" s="38">
        <v>0.0</v>
      </c>
      <c r="F371" s="38">
        <v>1.0</v>
      </c>
      <c r="G371" s="38">
        <v>0.0</v>
      </c>
      <c r="H371" s="38">
        <v>1.0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38">
        <v>370.0</v>
      </c>
      <c r="B372" s="39" t="s">
        <v>401</v>
      </c>
      <c r="C372" s="38">
        <v>1.0</v>
      </c>
      <c r="D372" s="38">
        <v>2.0</v>
      </c>
      <c r="E372" s="38">
        <v>0.0</v>
      </c>
      <c r="F372" s="38">
        <v>1.0</v>
      </c>
      <c r="G372" s="38">
        <v>0.0</v>
      </c>
      <c r="H372" s="38">
        <v>1.0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38">
        <v>371.0</v>
      </c>
      <c r="B373" s="39" t="s">
        <v>402</v>
      </c>
      <c r="C373" s="38">
        <v>1.0</v>
      </c>
      <c r="D373" s="38">
        <v>2.0</v>
      </c>
      <c r="E373" s="38">
        <v>0.0</v>
      </c>
      <c r="F373" s="38">
        <v>1.0</v>
      </c>
      <c r="G373" s="38">
        <v>0.0</v>
      </c>
      <c r="H373" s="38">
        <v>1.0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38">
        <v>372.0</v>
      </c>
      <c r="B374" s="39" t="s">
        <v>403</v>
      </c>
      <c r="C374" s="38">
        <v>1.0</v>
      </c>
      <c r="D374" s="38">
        <v>2.0</v>
      </c>
      <c r="E374" s="38">
        <v>0.0</v>
      </c>
      <c r="F374" s="38">
        <v>1.0</v>
      </c>
      <c r="G374" s="38">
        <v>0.0</v>
      </c>
      <c r="H374" s="38">
        <v>1.0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38">
        <v>373.0</v>
      </c>
      <c r="B375" s="39" t="s">
        <v>404</v>
      </c>
      <c r="C375" s="38">
        <v>1.0</v>
      </c>
      <c r="D375" s="38">
        <v>2.0</v>
      </c>
      <c r="E375" s="38">
        <v>0.0</v>
      </c>
      <c r="F375" s="38">
        <v>1.0</v>
      </c>
      <c r="G375" s="38">
        <v>0.0</v>
      </c>
      <c r="H375" s="38">
        <v>1.0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38">
        <v>374.0</v>
      </c>
      <c r="B376" s="39" t="s">
        <v>405</v>
      </c>
      <c r="C376" s="38">
        <v>1.0</v>
      </c>
      <c r="D376" s="38">
        <v>2.0</v>
      </c>
      <c r="E376" s="38">
        <v>0.0</v>
      </c>
      <c r="F376" s="38">
        <v>1.0</v>
      </c>
      <c r="G376" s="38">
        <v>0.0</v>
      </c>
      <c r="H376" s="38">
        <v>1.0</v>
      </c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38">
        <v>375.0</v>
      </c>
      <c r="B377" s="39" t="s">
        <v>406</v>
      </c>
      <c r="C377" s="38">
        <v>1.0</v>
      </c>
      <c r="D377" s="38">
        <v>5.0</v>
      </c>
      <c r="E377" s="38">
        <v>0.0</v>
      </c>
      <c r="F377" s="38">
        <v>0.0</v>
      </c>
      <c r="G377" s="38">
        <v>3.0</v>
      </c>
      <c r="H377" s="38">
        <v>2.0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38">
        <v>376.0</v>
      </c>
      <c r="B378" s="39" t="s">
        <v>407</v>
      </c>
      <c r="C378" s="38">
        <v>1.0</v>
      </c>
      <c r="D378" s="38">
        <v>2.0</v>
      </c>
      <c r="E378" s="38">
        <v>0.0</v>
      </c>
      <c r="F378" s="38">
        <v>1.0</v>
      </c>
      <c r="G378" s="38">
        <v>0.0</v>
      </c>
      <c r="H378" s="38">
        <v>1.0</v>
      </c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38">
        <v>377.0</v>
      </c>
      <c r="B379" s="39" t="s">
        <v>408</v>
      </c>
      <c r="C379" s="38">
        <v>1.0</v>
      </c>
      <c r="D379" s="38">
        <v>2.0</v>
      </c>
      <c r="E379" s="38">
        <v>0.0</v>
      </c>
      <c r="F379" s="38">
        <v>1.0</v>
      </c>
      <c r="G379" s="38">
        <v>0.0</v>
      </c>
      <c r="H379" s="38">
        <v>1.0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38">
        <v>378.0</v>
      </c>
      <c r="B380" s="39" t="s">
        <v>409</v>
      </c>
      <c r="C380" s="38">
        <v>1.0</v>
      </c>
      <c r="D380" s="38">
        <v>2.0</v>
      </c>
      <c r="E380" s="38">
        <v>0.0</v>
      </c>
      <c r="F380" s="38">
        <v>1.0</v>
      </c>
      <c r="G380" s="38">
        <v>0.0</v>
      </c>
      <c r="H380" s="38">
        <v>1.0</v>
      </c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38">
        <v>379.0</v>
      </c>
      <c r="B381" s="39" t="s">
        <v>410</v>
      </c>
      <c r="C381" s="38">
        <v>1.0</v>
      </c>
      <c r="D381" s="38">
        <v>2.0</v>
      </c>
      <c r="E381" s="38">
        <v>0.0</v>
      </c>
      <c r="F381" s="38">
        <v>1.0</v>
      </c>
      <c r="G381" s="38">
        <v>0.0</v>
      </c>
      <c r="H381" s="38">
        <v>1.0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38">
        <v>380.0</v>
      </c>
      <c r="B382" s="39" t="s">
        <v>411</v>
      </c>
      <c r="C382" s="38">
        <v>1.0</v>
      </c>
      <c r="D382" s="38">
        <v>2.0</v>
      </c>
      <c r="E382" s="38">
        <v>0.0</v>
      </c>
      <c r="F382" s="38">
        <v>1.0</v>
      </c>
      <c r="G382" s="38">
        <v>0.0</v>
      </c>
      <c r="H382" s="38">
        <v>1.0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38">
        <v>381.0</v>
      </c>
      <c r="B383" s="39" t="s">
        <v>412</v>
      </c>
      <c r="C383" s="38">
        <v>1.0</v>
      </c>
      <c r="D383" s="38">
        <v>2.0</v>
      </c>
      <c r="E383" s="38">
        <v>0.0</v>
      </c>
      <c r="F383" s="38">
        <v>1.0</v>
      </c>
      <c r="G383" s="38">
        <v>0.0</v>
      </c>
      <c r="H383" s="38">
        <v>1.0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38">
        <v>382.0</v>
      </c>
      <c r="B384" s="39" t="s">
        <v>413</v>
      </c>
      <c r="C384" s="38">
        <v>1.0</v>
      </c>
      <c r="D384" s="38">
        <v>2.0</v>
      </c>
      <c r="E384" s="38">
        <v>0.0</v>
      </c>
      <c r="F384" s="38">
        <v>1.0</v>
      </c>
      <c r="G384" s="38">
        <v>0.0</v>
      </c>
      <c r="H384" s="38">
        <v>1.0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38">
        <v>383.0</v>
      </c>
      <c r="B385" s="39" t="s">
        <v>414</v>
      </c>
      <c r="C385" s="38">
        <v>1.0</v>
      </c>
      <c r="D385" s="38">
        <v>2.0</v>
      </c>
      <c r="E385" s="38">
        <v>0.0</v>
      </c>
      <c r="F385" s="38">
        <v>1.0</v>
      </c>
      <c r="G385" s="38">
        <v>0.0</v>
      </c>
      <c r="H385" s="38">
        <v>1.0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38">
        <v>384.0</v>
      </c>
      <c r="B386" s="39" t="s">
        <v>415</v>
      </c>
      <c r="C386" s="38">
        <v>1.0</v>
      </c>
      <c r="D386" s="38">
        <v>2.0</v>
      </c>
      <c r="E386" s="38">
        <v>0.0</v>
      </c>
      <c r="F386" s="38">
        <v>1.0</v>
      </c>
      <c r="G386" s="38">
        <v>0.0</v>
      </c>
      <c r="H386" s="38">
        <v>1.0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38">
        <v>385.0</v>
      </c>
      <c r="B387" s="39" t="s">
        <v>416</v>
      </c>
      <c r="C387" s="38">
        <v>1.0</v>
      </c>
      <c r="D387" s="38">
        <v>4.0</v>
      </c>
      <c r="E387" s="38">
        <v>0.0</v>
      </c>
      <c r="F387" s="38">
        <v>1.0</v>
      </c>
      <c r="G387" s="38">
        <v>1.0</v>
      </c>
      <c r="H387" s="38">
        <v>2.0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38">
        <v>386.0</v>
      </c>
      <c r="B388" s="39" t="s">
        <v>417</v>
      </c>
      <c r="C388" s="38">
        <v>1.0</v>
      </c>
      <c r="D388" s="38">
        <v>3.0</v>
      </c>
      <c r="E388" s="38">
        <v>0.0</v>
      </c>
      <c r="F388" s="38">
        <v>0.0</v>
      </c>
      <c r="G388" s="38">
        <v>2.0</v>
      </c>
      <c r="H388" s="38">
        <v>1.0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38">
        <v>387.0</v>
      </c>
      <c r="B389" s="39" t="s">
        <v>418</v>
      </c>
      <c r="C389" s="38">
        <v>1.0</v>
      </c>
      <c r="D389" s="38">
        <v>4.0</v>
      </c>
      <c r="E389" s="38">
        <v>0.0</v>
      </c>
      <c r="F389" s="38">
        <v>1.0</v>
      </c>
      <c r="G389" s="38">
        <v>1.0</v>
      </c>
      <c r="H389" s="38">
        <v>2.0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38">
        <v>388.0</v>
      </c>
      <c r="B390" s="39" t="s">
        <v>419</v>
      </c>
      <c r="C390" s="38">
        <v>1.0</v>
      </c>
      <c r="D390" s="38">
        <v>2.0</v>
      </c>
      <c r="E390" s="38">
        <v>0.0</v>
      </c>
      <c r="F390" s="38">
        <v>1.0</v>
      </c>
      <c r="G390" s="38">
        <v>0.0</v>
      </c>
      <c r="H390" s="38">
        <v>1.0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38">
        <v>389.0</v>
      </c>
      <c r="B391" s="39" t="s">
        <v>420</v>
      </c>
      <c r="C391" s="38">
        <v>1.0</v>
      </c>
      <c r="D391" s="38">
        <v>2.0</v>
      </c>
      <c r="E391" s="38">
        <v>0.0</v>
      </c>
      <c r="F391" s="38">
        <v>1.0</v>
      </c>
      <c r="G391" s="38">
        <v>0.0</v>
      </c>
      <c r="H391" s="38">
        <v>1.0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38">
        <v>390.0</v>
      </c>
      <c r="B392" s="39" t="s">
        <v>421</v>
      </c>
      <c r="C392" s="38">
        <v>1.0</v>
      </c>
      <c r="D392" s="38">
        <v>5.0</v>
      </c>
      <c r="E392" s="38">
        <v>0.0</v>
      </c>
      <c r="F392" s="38">
        <v>2.0</v>
      </c>
      <c r="G392" s="38">
        <v>0.0</v>
      </c>
      <c r="H392" s="38">
        <v>3.0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38">
        <v>391.0</v>
      </c>
      <c r="B393" s="39" t="s">
        <v>422</v>
      </c>
      <c r="C393" s="38">
        <v>1.0</v>
      </c>
      <c r="D393" s="38">
        <v>2.0</v>
      </c>
      <c r="E393" s="38">
        <v>0.0</v>
      </c>
      <c r="F393" s="38">
        <v>1.0</v>
      </c>
      <c r="G393" s="38">
        <v>0.0</v>
      </c>
      <c r="H393" s="38">
        <v>1.0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38">
        <v>392.0</v>
      </c>
      <c r="B394" s="39" t="s">
        <v>423</v>
      </c>
      <c r="C394" s="38">
        <v>1.0</v>
      </c>
      <c r="D394" s="38">
        <v>3.0</v>
      </c>
      <c r="E394" s="38">
        <v>0.0</v>
      </c>
      <c r="F394" s="38">
        <v>0.0</v>
      </c>
      <c r="G394" s="38">
        <v>2.0</v>
      </c>
      <c r="H394" s="38">
        <v>1.0</v>
      </c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38">
        <v>393.0</v>
      </c>
      <c r="B395" s="39" t="s">
        <v>424</v>
      </c>
      <c r="C395" s="38">
        <v>1.0</v>
      </c>
      <c r="D395" s="38">
        <v>2.0</v>
      </c>
      <c r="E395" s="38">
        <v>0.0</v>
      </c>
      <c r="F395" s="38">
        <v>1.0</v>
      </c>
      <c r="G395" s="38">
        <v>0.0</v>
      </c>
      <c r="H395" s="38">
        <v>1.0</v>
      </c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38">
        <v>394.0</v>
      </c>
      <c r="B396" s="39" t="s">
        <v>425</v>
      </c>
      <c r="C396" s="38">
        <v>1.0</v>
      </c>
      <c r="D396" s="38">
        <v>2.0</v>
      </c>
      <c r="E396" s="38">
        <v>0.0</v>
      </c>
      <c r="F396" s="38">
        <v>1.0</v>
      </c>
      <c r="G396" s="38">
        <v>0.0</v>
      </c>
      <c r="H396" s="38">
        <v>1.0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38">
        <v>395.0</v>
      </c>
      <c r="B397" s="39" t="s">
        <v>426</v>
      </c>
      <c r="C397" s="38">
        <v>1.0</v>
      </c>
      <c r="D397" s="38">
        <v>8.0</v>
      </c>
      <c r="E397" s="38">
        <v>0.0</v>
      </c>
      <c r="F397" s="38">
        <v>3.0</v>
      </c>
      <c r="G397" s="38">
        <v>0.0</v>
      </c>
      <c r="H397" s="38">
        <v>5.0</v>
      </c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38">
        <v>396.0</v>
      </c>
      <c r="B398" s="39" t="s">
        <v>427</v>
      </c>
      <c r="C398" s="38">
        <v>1.0</v>
      </c>
      <c r="D398" s="38">
        <v>2.0</v>
      </c>
      <c r="E398" s="38">
        <v>0.0</v>
      </c>
      <c r="F398" s="38">
        <v>1.0</v>
      </c>
      <c r="G398" s="38">
        <v>0.0</v>
      </c>
      <c r="H398" s="38">
        <v>1.0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38">
        <v>397.0</v>
      </c>
      <c r="B399" s="39" t="s">
        <v>428</v>
      </c>
      <c r="C399" s="38">
        <v>1.0</v>
      </c>
      <c r="D399" s="38">
        <v>2.0</v>
      </c>
      <c r="E399" s="38">
        <v>0.0</v>
      </c>
      <c r="F399" s="38">
        <v>1.0</v>
      </c>
      <c r="G399" s="38">
        <v>0.0</v>
      </c>
      <c r="H399" s="38">
        <v>1.0</v>
      </c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38">
        <v>398.0</v>
      </c>
      <c r="B400" s="39" t="s">
        <v>429</v>
      </c>
      <c r="C400" s="38">
        <v>1.0</v>
      </c>
      <c r="D400" s="38">
        <v>2.0</v>
      </c>
      <c r="E400" s="38">
        <v>0.0</v>
      </c>
      <c r="F400" s="38">
        <v>1.0</v>
      </c>
      <c r="G400" s="38">
        <v>0.0</v>
      </c>
      <c r="H400" s="38">
        <v>1.0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38">
        <v>399.0</v>
      </c>
      <c r="B401" s="39" t="s">
        <v>430</v>
      </c>
      <c r="C401" s="38">
        <v>1.0</v>
      </c>
      <c r="D401" s="38">
        <v>2.0</v>
      </c>
      <c r="E401" s="38">
        <v>0.0</v>
      </c>
      <c r="F401" s="38">
        <v>1.0</v>
      </c>
      <c r="G401" s="38">
        <v>0.0</v>
      </c>
      <c r="H401" s="38">
        <v>1.0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38">
        <v>400.0</v>
      </c>
      <c r="B402" s="39" t="s">
        <v>431</v>
      </c>
      <c r="C402" s="38">
        <v>1.0</v>
      </c>
      <c r="D402" s="38">
        <v>2.0</v>
      </c>
      <c r="E402" s="38">
        <v>0.0</v>
      </c>
      <c r="F402" s="38">
        <v>1.0</v>
      </c>
      <c r="G402" s="38">
        <v>0.0</v>
      </c>
      <c r="H402" s="38">
        <v>1.0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38">
        <v>401.0</v>
      </c>
      <c r="B403" s="39" t="s">
        <v>432</v>
      </c>
      <c r="C403" s="38">
        <v>1.0</v>
      </c>
      <c r="D403" s="38">
        <v>2.0</v>
      </c>
      <c r="E403" s="38">
        <v>0.0</v>
      </c>
      <c r="F403" s="38">
        <v>1.0</v>
      </c>
      <c r="G403" s="38">
        <v>0.0</v>
      </c>
      <c r="H403" s="38">
        <v>1.0</v>
      </c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38">
        <v>402.0</v>
      </c>
      <c r="B404" s="39" t="s">
        <v>433</v>
      </c>
      <c r="C404" s="38">
        <v>1.0</v>
      </c>
      <c r="D404" s="38">
        <v>2.0</v>
      </c>
      <c r="E404" s="38">
        <v>0.0</v>
      </c>
      <c r="F404" s="38">
        <v>1.0</v>
      </c>
      <c r="G404" s="38">
        <v>0.0</v>
      </c>
      <c r="H404" s="38">
        <v>1.0</v>
      </c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38">
        <v>403.0</v>
      </c>
      <c r="B405" s="39" t="s">
        <v>434</v>
      </c>
      <c r="C405" s="38">
        <v>1.0</v>
      </c>
      <c r="D405" s="38">
        <v>2.0</v>
      </c>
      <c r="E405" s="38">
        <v>0.0</v>
      </c>
      <c r="F405" s="38">
        <v>1.0</v>
      </c>
      <c r="G405" s="38">
        <v>0.0</v>
      </c>
      <c r="H405" s="38">
        <v>1.0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38">
        <v>404.0</v>
      </c>
      <c r="B406" s="39" t="s">
        <v>435</v>
      </c>
      <c r="C406" s="38">
        <v>1.0</v>
      </c>
      <c r="D406" s="38">
        <v>2.0</v>
      </c>
      <c r="E406" s="38">
        <v>0.0</v>
      </c>
      <c r="F406" s="38">
        <v>1.0</v>
      </c>
      <c r="G406" s="38">
        <v>0.0</v>
      </c>
      <c r="H406" s="38">
        <v>1.0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38">
        <v>405.0</v>
      </c>
      <c r="B407" s="39" t="s">
        <v>436</v>
      </c>
      <c r="C407" s="38">
        <v>1.0</v>
      </c>
      <c r="D407" s="38">
        <v>2.0</v>
      </c>
      <c r="E407" s="38">
        <v>0.0</v>
      </c>
      <c r="F407" s="38">
        <v>1.0</v>
      </c>
      <c r="G407" s="38">
        <v>0.0</v>
      </c>
      <c r="H407" s="38">
        <v>1.0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38">
        <v>406.0</v>
      </c>
      <c r="B408" s="39" t="s">
        <v>437</v>
      </c>
      <c r="C408" s="38">
        <v>1.0</v>
      </c>
      <c r="D408" s="38">
        <v>2.0</v>
      </c>
      <c r="E408" s="38">
        <v>0.0</v>
      </c>
      <c r="F408" s="38">
        <v>1.0</v>
      </c>
      <c r="G408" s="38">
        <v>0.0</v>
      </c>
      <c r="H408" s="38">
        <v>1.0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38">
        <v>407.0</v>
      </c>
      <c r="B409" s="39" t="s">
        <v>438</v>
      </c>
      <c r="C409" s="38">
        <v>1.0</v>
      </c>
      <c r="D409" s="38">
        <v>2.0</v>
      </c>
      <c r="E409" s="38">
        <v>0.0</v>
      </c>
      <c r="F409" s="38">
        <v>1.0</v>
      </c>
      <c r="G409" s="38">
        <v>0.0</v>
      </c>
      <c r="H409" s="38">
        <v>1.0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38">
        <v>408.0</v>
      </c>
      <c r="B410" s="39" t="s">
        <v>439</v>
      </c>
      <c r="C410" s="38">
        <v>1.0</v>
      </c>
      <c r="D410" s="38">
        <v>2.0</v>
      </c>
      <c r="E410" s="38">
        <v>0.0</v>
      </c>
      <c r="F410" s="38">
        <v>1.0</v>
      </c>
      <c r="G410" s="38">
        <v>0.0</v>
      </c>
      <c r="H410" s="38">
        <v>1.0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38">
        <v>409.0</v>
      </c>
      <c r="B411" s="39" t="s">
        <v>440</v>
      </c>
      <c r="C411" s="38">
        <v>1.0</v>
      </c>
      <c r="D411" s="38">
        <v>2.0</v>
      </c>
      <c r="E411" s="38">
        <v>0.0</v>
      </c>
      <c r="F411" s="38">
        <v>1.0</v>
      </c>
      <c r="G411" s="38">
        <v>0.0</v>
      </c>
      <c r="H411" s="38">
        <v>1.0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38">
        <v>410.0</v>
      </c>
      <c r="B412" s="39" t="s">
        <v>441</v>
      </c>
      <c r="C412" s="38">
        <v>1.0</v>
      </c>
      <c r="D412" s="38">
        <v>2.0</v>
      </c>
      <c r="E412" s="38">
        <v>0.0</v>
      </c>
      <c r="F412" s="38">
        <v>1.0</v>
      </c>
      <c r="G412" s="38">
        <v>0.0</v>
      </c>
      <c r="H412" s="38">
        <v>1.0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38">
        <v>411.0</v>
      </c>
      <c r="B413" s="39" t="s">
        <v>442</v>
      </c>
      <c r="C413" s="38">
        <v>1.0</v>
      </c>
      <c r="D413" s="38">
        <v>2.0</v>
      </c>
      <c r="E413" s="38">
        <v>0.0</v>
      </c>
      <c r="F413" s="38">
        <v>1.0</v>
      </c>
      <c r="G413" s="38">
        <v>0.0</v>
      </c>
      <c r="H413" s="38">
        <v>1.0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38">
        <v>412.0</v>
      </c>
      <c r="B414" s="39" t="s">
        <v>443</v>
      </c>
      <c r="C414" s="38">
        <v>1.0</v>
      </c>
      <c r="D414" s="38">
        <v>2.0</v>
      </c>
      <c r="E414" s="38">
        <v>0.0</v>
      </c>
      <c r="F414" s="38">
        <v>1.0</v>
      </c>
      <c r="G414" s="38">
        <v>0.0</v>
      </c>
      <c r="H414" s="38">
        <v>1.0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38">
        <v>413.0</v>
      </c>
      <c r="B415" s="39" t="s">
        <v>444</v>
      </c>
      <c r="C415" s="38">
        <v>1.0</v>
      </c>
      <c r="D415" s="38">
        <v>2.0</v>
      </c>
      <c r="E415" s="38">
        <v>0.0</v>
      </c>
      <c r="F415" s="38">
        <v>1.0</v>
      </c>
      <c r="G415" s="38">
        <v>0.0</v>
      </c>
      <c r="H415" s="38">
        <v>1.0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38">
        <v>414.0</v>
      </c>
      <c r="B416" s="39" t="s">
        <v>445</v>
      </c>
      <c r="C416" s="38">
        <v>1.0</v>
      </c>
      <c r="D416" s="38">
        <v>2.0</v>
      </c>
      <c r="E416" s="38">
        <v>0.0</v>
      </c>
      <c r="F416" s="38">
        <v>1.0</v>
      </c>
      <c r="G416" s="38">
        <v>0.0</v>
      </c>
      <c r="H416" s="38">
        <v>1.0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38">
        <v>415.0</v>
      </c>
      <c r="B417" s="39" t="s">
        <v>446</v>
      </c>
      <c r="C417" s="38">
        <v>1.0</v>
      </c>
      <c r="D417" s="38">
        <v>2.0</v>
      </c>
      <c r="E417" s="38">
        <v>0.0</v>
      </c>
      <c r="F417" s="38">
        <v>1.0</v>
      </c>
      <c r="G417" s="38">
        <v>0.0</v>
      </c>
      <c r="H417" s="38">
        <v>1.0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38">
        <v>416.0</v>
      </c>
      <c r="B418" s="39" t="s">
        <v>447</v>
      </c>
      <c r="C418" s="38">
        <v>1.0</v>
      </c>
      <c r="D418" s="38">
        <v>87.0</v>
      </c>
      <c r="E418" s="38">
        <v>0.0</v>
      </c>
      <c r="F418" s="38">
        <v>20.0</v>
      </c>
      <c r="G418" s="38">
        <v>14.0</v>
      </c>
      <c r="H418" s="38">
        <v>53.0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38">
        <v>417.0</v>
      </c>
      <c r="B419" s="39" t="s">
        <v>448</v>
      </c>
      <c r="C419" s="38">
        <v>1.0</v>
      </c>
      <c r="D419" s="38">
        <v>2.0</v>
      </c>
      <c r="E419" s="38">
        <v>0.0</v>
      </c>
      <c r="F419" s="38">
        <v>1.0</v>
      </c>
      <c r="G419" s="38">
        <v>0.0</v>
      </c>
      <c r="H419" s="38">
        <v>1.0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38">
        <v>418.0</v>
      </c>
      <c r="B420" s="39" t="s">
        <v>449</v>
      </c>
      <c r="C420" s="38">
        <v>1.0</v>
      </c>
      <c r="D420" s="38">
        <v>4.0</v>
      </c>
      <c r="E420" s="38">
        <v>0.0</v>
      </c>
      <c r="F420" s="38">
        <v>1.0</v>
      </c>
      <c r="G420" s="38">
        <v>1.0</v>
      </c>
      <c r="H420" s="38">
        <v>2.0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38">
        <v>419.0</v>
      </c>
      <c r="B421" s="39" t="s">
        <v>450</v>
      </c>
      <c r="C421" s="38">
        <v>1.0</v>
      </c>
      <c r="D421" s="38">
        <v>2.0</v>
      </c>
      <c r="E421" s="38">
        <v>0.0</v>
      </c>
      <c r="F421" s="38">
        <v>1.0</v>
      </c>
      <c r="G421" s="38">
        <v>0.0</v>
      </c>
      <c r="H421" s="38">
        <v>1.0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38">
        <v>420.0</v>
      </c>
      <c r="B422" s="39" t="s">
        <v>451</v>
      </c>
      <c r="C422" s="38">
        <v>1.0</v>
      </c>
      <c r="D422" s="38">
        <v>4.0</v>
      </c>
      <c r="E422" s="38">
        <v>0.0</v>
      </c>
      <c r="F422" s="38">
        <v>1.0</v>
      </c>
      <c r="G422" s="38">
        <v>1.0</v>
      </c>
      <c r="H422" s="38">
        <v>2.0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38">
        <v>421.0</v>
      </c>
      <c r="B423" s="39" t="s">
        <v>452</v>
      </c>
      <c r="C423" s="38">
        <v>1.0</v>
      </c>
      <c r="D423" s="38">
        <v>4.0</v>
      </c>
      <c r="E423" s="38">
        <v>0.0</v>
      </c>
      <c r="F423" s="38">
        <v>1.0</v>
      </c>
      <c r="G423" s="38">
        <v>1.0</v>
      </c>
      <c r="H423" s="38">
        <v>2.0</v>
      </c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38">
        <v>422.0</v>
      </c>
      <c r="B424" s="39" t="s">
        <v>453</v>
      </c>
      <c r="C424" s="38">
        <v>1.0</v>
      </c>
      <c r="D424" s="38">
        <v>2.0</v>
      </c>
      <c r="E424" s="38">
        <v>0.0</v>
      </c>
      <c r="F424" s="38">
        <v>1.0</v>
      </c>
      <c r="G424" s="38">
        <v>0.0</v>
      </c>
      <c r="H424" s="38">
        <v>1.0</v>
      </c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38">
        <v>423.0</v>
      </c>
      <c r="B425" s="39" t="s">
        <v>454</v>
      </c>
      <c r="C425" s="38">
        <v>1.0</v>
      </c>
      <c r="D425" s="38">
        <v>2.0</v>
      </c>
      <c r="E425" s="38">
        <v>0.0</v>
      </c>
      <c r="F425" s="38">
        <v>1.0</v>
      </c>
      <c r="G425" s="38">
        <v>0.0</v>
      </c>
      <c r="H425" s="38">
        <v>1.0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38">
        <v>424.0</v>
      </c>
      <c r="B426" s="39" t="s">
        <v>455</v>
      </c>
      <c r="C426" s="38">
        <v>1.0</v>
      </c>
      <c r="D426" s="38">
        <v>2.0</v>
      </c>
      <c r="E426" s="38">
        <v>0.0</v>
      </c>
      <c r="F426" s="38">
        <v>1.0</v>
      </c>
      <c r="G426" s="38">
        <v>0.0</v>
      </c>
      <c r="H426" s="38">
        <v>1.0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38">
        <v>425.0</v>
      </c>
      <c r="B427" s="39" t="s">
        <v>456</v>
      </c>
      <c r="C427" s="38">
        <v>1.0</v>
      </c>
      <c r="D427" s="38">
        <v>4.0</v>
      </c>
      <c r="E427" s="38">
        <v>0.0</v>
      </c>
      <c r="F427" s="38">
        <v>1.0</v>
      </c>
      <c r="G427" s="38">
        <v>1.0</v>
      </c>
      <c r="H427" s="38">
        <v>2.0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38">
        <v>426.0</v>
      </c>
      <c r="B428" s="39" t="s">
        <v>457</v>
      </c>
      <c r="C428" s="38">
        <v>1.0</v>
      </c>
      <c r="D428" s="38">
        <v>2.0</v>
      </c>
      <c r="E428" s="38">
        <v>0.0</v>
      </c>
      <c r="F428" s="38">
        <v>1.0</v>
      </c>
      <c r="G428" s="38">
        <v>0.0</v>
      </c>
      <c r="H428" s="38">
        <v>1.0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38">
        <v>427.0</v>
      </c>
      <c r="B429" s="39" t="s">
        <v>458</v>
      </c>
      <c r="C429" s="38">
        <v>1.0</v>
      </c>
      <c r="D429" s="38">
        <v>4.0</v>
      </c>
      <c r="E429" s="38">
        <v>0.0</v>
      </c>
      <c r="F429" s="38">
        <v>1.0</v>
      </c>
      <c r="G429" s="38">
        <v>1.0</v>
      </c>
      <c r="H429" s="38">
        <v>2.0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38">
        <v>428.0</v>
      </c>
      <c r="B430" s="39" t="s">
        <v>459</v>
      </c>
      <c r="C430" s="38">
        <v>1.0</v>
      </c>
      <c r="D430" s="38">
        <v>2.0</v>
      </c>
      <c r="E430" s="38">
        <v>0.0</v>
      </c>
      <c r="F430" s="38">
        <v>1.0</v>
      </c>
      <c r="G430" s="38">
        <v>0.0</v>
      </c>
      <c r="H430" s="38">
        <v>1.0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38">
        <v>429.0</v>
      </c>
      <c r="B431" s="39" t="s">
        <v>460</v>
      </c>
      <c r="C431" s="38">
        <v>1.0</v>
      </c>
      <c r="D431" s="38">
        <v>2.0</v>
      </c>
      <c r="E431" s="38">
        <v>0.0</v>
      </c>
      <c r="F431" s="38">
        <v>1.0</v>
      </c>
      <c r="G431" s="38">
        <v>0.0</v>
      </c>
      <c r="H431" s="38">
        <v>1.0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38">
        <v>430.0</v>
      </c>
      <c r="B432" s="39" t="s">
        <v>461</v>
      </c>
      <c r="C432" s="38">
        <v>1.0</v>
      </c>
      <c r="D432" s="38">
        <v>2.0</v>
      </c>
      <c r="E432" s="38">
        <v>0.0</v>
      </c>
      <c r="F432" s="38">
        <v>1.0</v>
      </c>
      <c r="G432" s="38">
        <v>0.0</v>
      </c>
      <c r="H432" s="38">
        <v>1.0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38">
        <v>431.0</v>
      </c>
      <c r="B433" s="39" t="s">
        <v>462</v>
      </c>
      <c r="C433" s="38">
        <v>1.0</v>
      </c>
      <c r="D433" s="38">
        <v>2.0</v>
      </c>
      <c r="E433" s="38">
        <v>0.0</v>
      </c>
      <c r="F433" s="38">
        <v>1.0</v>
      </c>
      <c r="G433" s="38">
        <v>0.0</v>
      </c>
      <c r="H433" s="38">
        <v>1.0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38">
        <v>432.0</v>
      </c>
      <c r="B434" s="39" t="s">
        <v>463</v>
      </c>
      <c r="C434" s="38">
        <v>1.0</v>
      </c>
      <c r="D434" s="38">
        <v>2.0</v>
      </c>
      <c r="E434" s="38">
        <v>0.0</v>
      </c>
      <c r="F434" s="38">
        <v>1.0</v>
      </c>
      <c r="G434" s="38">
        <v>0.0</v>
      </c>
      <c r="H434" s="38">
        <v>1.0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38">
        <v>433.0</v>
      </c>
      <c r="B435" s="39" t="s">
        <v>464</v>
      </c>
      <c r="C435" s="38">
        <v>1.0</v>
      </c>
      <c r="D435" s="38">
        <v>2.0</v>
      </c>
      <c r="E435" s="38">
        <v>0.0</v>
      </c>
      <c r="F435" s="38">
        <v>1.0</v>
      </c>
      <c r="G435" s="38">
        <v>0.0</v>
      </c>
      <c r="H435" s="38">
        <v>1.0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38">
        <v>434.0</v>
      </c>
      <c r="B436" s="39" t="s">
        <v>465</v>
      </c>
      <c r="C436" s="38">
        <v>1.0</v>
      </c>
      <c r="D436" s="38">
        <v>2.0</v>
      </c>
      <c r="E436" s="38">
        <v>0.0</v>
      </c>
      <c r="F436" s="38">
        <v>1.0</v>
      </c>
      <c r="G436" s="38">
        <v>0.0</v>
      </c>
      <c r="H436" s="38">
        <v>1.0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38">
        <v>435.0</v>
      </c>
      <c r="B437" s="39" t="s">
        <v>466</v>
      </c>
      <c r="C437" s="38">
        <v>1.0</v>
      </c>
      <c r="D437" s="38">
        <v>2.0</v>
      </c>
      <c r="E437" s="38">
        <v>0.0</v>
      </c>
      <c r="F437" s="38">
        <v>1.0</v>
      </c>
      <c r="G437" s="38">
        <v>0.0</v>
      </c>
      <c r="H437" s="38">
        <v>1.0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38">
        <v>436.0</v>
      </c>
      <c r="B438" s="39" t="s">
        <v>467</v>
      </c>
      <c r="C438" s="38">
        <v>1.0</v>
      </c>
      <c r="D438" s="38">
        <v>6.0</v>
      </c>
      <c r="E438" s="38">
        <v>0.0</v>
      </c>
      <c r="F438" s="38">
        <v>1.0</v>
      </c>
      <c r="G438" s="38">
        <v>2.0</v>
      </c>
      <c r="H438" s="38">
        <v>3.0</v>
      </c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38">
        <v>437.0</v>
      </c>
      <c r="B439" s="39" t="s">
        <v>468</v>
      </c>
      <c r="C439" s="38">
        <v>1.0</v>
      </c>
      <c r="D439" s="38">
        <v>2.0</v>
      </c>
      <c r="E439" s="38">
        <v>0.0</v>
      </c>
      <c r="F439" s="38">
        <v>1.0</v>
      </c>
      <c r="G439" s="38">
        <v>0.0</v>
      </c>
      <c r="H439" s="38">
        <v>1.0</v>
      </c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38">
        <v>438.0</v>
      </c>
      <c r="B440" s="39" t="s">
        <v>469</v>
      </c>
      <c r="C440" s="38">
        <v>1.0</v>
      </c>
      <c r="D440" s="38">
        <v>2.0</v>
      </c>
      <c r="E440" s="38">
        <v>0.0</v>
      </c>
      <c r="F440" s="38">
        <v>1.0</v>
      </c>
      <c r="G440" s="38">
        <v>0.0</v>
      </c>
      <c r="H440" s="38">
        <v>1.0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38">
        <v>439.0</v>
      </c>
      <c r="B441" s="39" t="s">
        <v>470</v>
      </c>
      <c r="C441" s="38">
        <v>1.0</v>
      </c>
      <c r="D441" s="38">
        <v>2.0</v>
      </c>
      <c r="E441" s="38">
        <v>0.0</v>
      </c>
      <c r="F441" s="38">
        <v>1.0</v>
      </c>
      <c r="G441" s="38">
        <v>0.0</v>
      </c>
      <c r="H441" s="38">
        <v>1.0</v>
      </c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38">
        <v>440.0</v>
      </c>
      <c r="B442" s="39" t="s">
        <v>471</v>
      </c>
      <c r="C442" s="38">
        <v>1.0</v>
      </c>
      <c r="D442" s="38">
        <v>5.0</v>
      </c>
      <c r="E442" s="38">
        <v>0.0</v>
      </c>
      <c r="F442" s="38">
        <v>2.0</v>
      </c>
      <c r="G442" s="38">
        <v>0.0</v>
      </c>
      <c r="H442" s="38">
        <v>3.0</v>
      </c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38">
        <v>441.0</v>
      </c>
      <c r="B443" s="39" t="s">
        <v>472</v>
      </c>
      <c r="C443" s="38">
        <v>1.0</v>
      </c>
      <c r="D443" s="38">
        <v>2.0</v>
      </c>
      <c r="E443" s="38">
        <v>0.0</v>
      </c>
      <c r="F443" s="38">
        <v>1.0</v>
      </c>
      <c r="G443" s="38">
        <v>0.0</v>
      </c>
      <c r="H443" s="38">
        <v>1.0</v>
      </c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38">
        <v>442.0</v>
      </c>
      <c r="B444" s="39" t="s">
        <v>473</v>
      </c>
      <c r="C444" s="38">
        <v>1.0</v>
      </c>
      <c r="D444" s="38">
        <v>5.0</v>
      </c>
      <c r="E444" s="38">
        <v>0.0</v>
      </c>
      <c r="F444" s="38">
        <v>2.0</v>
      </c>
      <c r="G444" s="38">
        <v>0.0</v>
      </c>
      <c r="H444" s="38">
        <v>3.0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38">
        <v>443.0</v>
      </c>
      <c r="B445" s="39" t="s">
        <v>474</v>
      </c>
      <c r="C445" s="38">
        <v>1.0</v>
      </c>
      <c r="D445" s="38">
        <v>2.0</v>
      </c>
      <c r="E445" s="38">
        <v>0.0</v>
      </c>
      <c r="F445" s="38">
        <v>1.0</v>
      </c>
      <c r="G445" s="38">
        <v>0.0</v>
      </c>
      <c r="H445" s="38">
        <v>1.0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38">
        <v>444.0</v>
      </c>
      <c r="B446" s="39" t="s">
        <v>475</v>
      </c>
      <c r="C446" s="38">
        <v>1.0</v>
      </c>
      <c r="D446" s="38">
        <v>2.0</v>
      </c>
      <c r="E446" s="38">
        <v>0.0</v>
      </c>
      <c r="F446" s="38">
        <v>1.0</v>
      </c>
      <c r="G446" s="38">
        <v>0.0</v>
      </c>
      <c r="H446" s="38">
        <v>1.0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38">
        <v>445.0</v>
      </c>
      <c r="B447" s="39" t="s">
        <v>476</v>
      </c>
      <c r="C447" s="38">
        <v>1.0</v>
      </c>
      <c r="D447" s="38">
        <v>2.0</v>
      </c>
      <c r="E447" s="38">
        <v>0.0</v>
      </c>
      <c r="F447" s="38">
        <v>1.0</v>
      </c>
      <c r="G447" s="38">
        <v>0.0</v>
      </c>
      <c r="H447" s="38">
        <v>1.0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38">
        <v>446.0</v>
      </c>
      <c r="B448" s="39" t="s">
        <v>477</v>
      </c>
      <c r="C448" s="38">
        <v>1.0</v>
      </c>
      <c r="D448" s="38">
        <v>4.0</v>
      </c>
      <c r="E448" s="38">
        <v>0.0</v>
      </c>
      <c r="F448" s="38">
        <v>1.0</v>
      </c>
      <c r="G448" s="38">
        <v>1.0</v>
      </c>
      <c r="H448" s="38">
        <v>2.0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38">
        <v>447.0</v>
      </c>
      <c r="B449" s="39" t="s">
        <v>478</v>
      </c>
      <c r="C449" s="38">
        <v>1.0</v>
      </c>
      <c r="D449" s="38">
        <v>2.0</v>
      </c>
      <c r="E449" s="38">
        <v>0.0</v>
      </c>
      <c r="F449" s="38">
        <v>1.0</v>
      </c>
      <c r="G449" s="38">
        <v>0.0</v>
      </c>
      <c r="H449" s="38">
        <v>1.0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38">
        <v>448.0</v>
      </c>
      <c r="B450" s="39" t="s">
        <v>479</v>
      </c>
      <c r="C450" s="38">
        <v>1.0</v>
      </c>
      <c r="D450" s="38">
        <v>2.0</v>
      </c>
      <c r="E450" s="38">
        <v>0.0</v>
      </c>
      <c r="F450" s="38">
        <v>1.0</v>
      </c>
      <c r="G450" s="38">
        <v>0.0</v>
      </c>
      <c r="H450" s="38">
        <v>1.0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38">
        <v>449.0</v>
      </c>
      <c r="B451" s="39" t="s">
        <v>480</v>
      </c>
      <c r="C451" s="38">
        <v>1.0</v>
      </c>
      <c r="D451" s="38">
        <v>2.0</v>
      </c>
      <c r="E451" s="38">
        <v>0.0</v>
      </c>
      <c r="F451" s="38">
        <v>1.0</v>
      </c>
      <c r="G451" s="38">
        <v>0.0</v>
      </c>
      <c r="H451" s="38">
        <v>1.0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38">
        <v>450.0</v>
      </c>
      <c r="B452" s="39" t="s">
        <v>481</v>
      </c>
      <c r="C452" s="38">
        <v>1.0</v>
      </c>
      <c r="D452" s="38">
        <v>2.0</v>
      </c>
      <c r="E452" s="38">
        <v>0.0</v>
      </c>
      <c r="F452" s="38">
        <v>1.0</v>
      </c>
      <c r="G452" s="38">
        <v>0.0</v>
      </c>
      <c r="H452" s="38">
        <v>1.0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38">
        <v>451.0</v>
      </c>
      <c r="B453" s="39" t="s">
        <v>482</v>
      </c>
      <c r="C453" s="38">
        <v>1.0</v>
      </c>
      <c r="D453" s="38">
        <v>2.0</v>
      </c>
      <c r="E453" s="38">
        <v>0.0</v>
      </c>
      <c r="F453" s="38">
        <v>1.0</v>
      </c>
      <c r="G453" s="38">
        <v>0.0</v>
      </c>
      <c r="H453" s="38">
        <v>1.0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38">
        <v>452.0</v>
      </c>
      <c r="B454" s="39" t="s">
        <v>483</v>
      </c>
      <c r="C454" s="38">
        <v>1.0</v>
      </c>
      <c r="D454" s="38">
        <v>2.0</v>
      </c>
      <c r="E454" s="38">
        <v>0.0</v>
      </c>
      <c r="F454" s="38">
        <v>1.0</v>
      </c>
      <c r="G454" s="38">
        <v>0.0</v>
      </c>
      <c r="H454" s="38">
        <v>1.0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38">
        <v>453.0</v>
      </c>
      <c r="B455" s="39" t="s">
        <v>484</v>
      </c>
      <c r="C455" s="38">
        <v>1.0</v>
      </c>
      <c r="D455" s="38">
        <v>4.0</v>
      </c>
      <c r="E455" s="38">
        <v>0.0</v>
      </c>
      <c r="F455" s="38">
        <v>1.0</v>
      </c>
      <c r="G455" s="38">
        <v>1.0</v>
      </c>
      <c r="H455" s="38">
        <v>2.0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38">
        <v>454.0</v>
      </c>
      <c r="B456" s="39" t="s">
        <v>485</v>
      </c>
      <c r="C456" s="38">
        <v>1.0</v>
      </c>
      <c r="D456" s="38">
        <v>2.0</v>
      </c>
      <c r="E456" s="38">
        <v>0.0</v>
      </c>
      <c r="F456" s="38">
        <v>1.0</v>
      </c>
      <c r="G456" s="38">
        <v>0.0</v>
      </c>
      <c r="H456" s="38">
        <v>1.0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38">
        <v>455.0</v>
      </c>
      <c r="B457" s="39" t="s">
        <v>486</v>
      </c>
      <c r="C457" s="38">
        <v>1.0</v>
      </c>
      <c r="D457" s="38">
        <v>5.0</v>
      </c>
      <c r="E457" s="38">
        <v>0.0</v>
      </c>
      <c r="F457" s="38">
        <v>0.0</v>
      </c>
      <c r="G457" s="38">
        <v>3.0</v>
      </c>
      <c r="H457" s="38">
        <v>2.0</v>
      </c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38">
        <v>456.0</v>
      </c>
      <c r="B458" s="39" t="s">
        <v>487</v>
      </c>
      <c r="C458" s="38">
        <v>1.0</v>
      </c>
      <c r="D458" s="38">
        <v>2.0</v>
      </c>
      <c r="E458" s="38">
        <v>0.0</v>
      </c>
      <c r="F458" s="38">
        <v>1.0</v>
      </c>
      <c r="G458" s="38">
        <v>0.0</v>
      </c>
      <c r="H458" s="38">
        <v>1.0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38">
        <v>457.0</v>
      </c>
      <c r="B459" s="39" t="s">
        <v>488</v>
      </c>
      <c r="C459" s="38">
        <v>1.0</v>
      </c>
      <c r="D459" s="38">
        <v>2.0</v>
      </c>
      <c r="E459" s="38">
        <v>0.0</v>
      </c>
      <c r="F459" s="38">
        <v>1.0</v>
      </c>
      <c r="G459" s="38">
        <v>0.0</v>
      </c>
      <c r="H459" s="38">
        <v>1.0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38">
        <v>458.0</v>
      </c>
      <c r="B460" s="39" t="s">
        <v>489</v>
      </c>
      <c r="C460" s="38">
        <v>1.0</v>
      </c>
      <c r="D460" s="38">
        <v>2.0</v>
      </c>
      <c r="E460" s="38">
        <v>0.0</v>
      </c>
      <c r="F460" s="38">
        <v>1.0</v>
      </c>
      <c r="G460" s="38">
        <v>0.0</v>
      </c>
      <c r="H460" s="38">
        <v>1.0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38">
        <v>459.0</v>
      </c>
      <c r="B461" s="39" t="s">
        <v>490</v>
      </c>
      <c r="C461" s="38">
        <v>1.0</v>
      </c>
      <c r="D461" s="38">
        <v>2.0</v>
      </c>
      <c r="E461" s="38">
        <v>0.0</v>
      </c>
      <c r="F461" s="38">
        <v>1.0</v>
      </c>
      <c r="G461" s="38">
        <v>0.0</v>
      </c>
      <c r="H461" s="38">
        <v>1.0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38">
        <v>460.0</v>
      </c>
      <c r="B462" s="39" t="s">
        <v>491</v>
      </c>
      <c r="C462" s="38">
        <v>1.0</v>
      </c>
      <c r="D462" s="38">
        <v>6.0</v>
      </c>
      <c r="E462" s="38">
        <v>0.0</v>
      </c>
      <c r="F462" s="38">
        <v>1.0</v>
      </c>
      <c r="G462" s="38">
        <v>2.0</v>
      </c>
      <c r="H462" s="38">
        <v>3.0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38">
        <v>461.0</v>
      </c>
      <c r="B463" s="39" t="s">
        <v>492</v>
      </c>
      <c r="C463" s="38">
        <v>1.0</v>
      </c>
      <c r="D463" s="38">
        <v>2.0</v>
      </c>
      <c r="E463" s="38">
        <v>0.0</v>
      </c>
      <c r="F463" s="38">
        <v>1.0</v>
      </c>
      <c r="G463" s="38">
        <v>0.0</v>
      </c>
      <c r="H463" s="38">
        <v>1.0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38">
        <v>462.0</v>
      </c>
      <c r="B464" s="39" t="s">
        <v>493</v>
      </c>
      <c r="C464" s="38">
        <v>1.0</v>
      </c>
      <c r="D464" s="38">
        <v>2.0</v>
      </c>
      <c r="E464" s="38">
        <v>0.0</v>
      </c>
      <c r="F464" s="38">
        <v>1.0</v>
      </c>
      <c r="G464" s="38">
        <v>0.0</v>
      </c>
      <c r="H464" s="38">
        <v>1.0</v>
      </c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38">
        <v>463.0</v>
      </c>
      <c r="B465" s="39" t="s">
        <v>494</v>
      </c>
      <c r="C465" s="38">
        <v>1.0</v>
      </c>
      <c r="D465" s="38">
        <v>2.0</v>
      </c>
      <c r="E465" s="38">
        <v>0.0</v>
      </c>
      <c r="F465" s="38">
        <v>1.0</v>
      </c>
      <c r="G465" s="38">
        <v>0.0</v>
      </c>
      <c r="H465" s="38">
        <v>1.0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38">
        <v>464.0</v>
      </c>
      <c r="B466" s="39" t="s">
        <v>495</v>
      </c>
      <c r="C466" s="38">
        <v>0.0</v>
      </c>
      <c r="D466" s="38">
        <v>2.0</v>
      </c>
      <c r="E466" s="38">
        <v>0.0</v>
      </c>
      <c r="F466" s="38">
        <v>0.0</v>
      </c>
      <c r="G466" s="38">
        <v>1.0</v>
      </c>
      <c r="H466" s="38">
        <v>1.0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38">
        <v>465.0</v>
      </c>
      <c r="B467" s="39" t="s">
        <v>496</v>
      </c>
      <c r="C467" s="38">
        <v>0.0</v>
      </c>
      <c r="D467" s="38">
        <v>3.0</v>
      </c>
      <c r="E467" s="38">
        <v>0.0</v>
      </c>
      <c r="F467" s="38">
        <v>1.0</v>
      </c>
      <c r="G467" s="38">
        <v>0.0</v>
      </c>
      <c r="H467" s="38">
        <v>2.0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38">
        <v>466.0</v>
      </c>
      <c r="B468" s="39" t="s">
        <v>497</v>
      </c>
      <c r="C468" s="38">
        <v>0.0</v>
      </c>
      <c r="D468" s="38">
        <v>3.0</v>
      </c>
      <c r="E468" s="38">
        <v>0.0</v>
      </c>
      <c r="F468" s="38">
        <v>1.0</v>
      </c>
      <c r="G468" s="38">
        <v>0.0</v>
      </c>
      <c r="H468" s="38">
        <v>2.0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38">
        <v>467.0</v>
      </c>
      <c r="B469" s="39" t="s">
        <v>498</v>
      </c>
      <c r="C469" s="38">
        <v>0.0</v>
      </c>
      <c r="D469" s="38">
        <v>9.0</v>
      </c>
      <c r="E469" s="38">
        <v>0.0</v>
      </c>
      <c r="F469" s="38">
        <v>3.0</v>
      </c>
      <c r="G469" s="38">
        <v>0.0</v>
      </c>
      <c r="H469" s="38">
        <v>6.0</v>
      </c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38">
        <v>468.0</v>
      </c>
      <c r="B470" s="39" t="s">
        <v>499</v>
      </c>
      <c r="C470" s="38">
        <v>0.0</v>
      </c>
      <c r="D470" s="38">
        <v>2.0</v>
      </c>
      <c r="E470" s="38">
        <v>0.0</v>
      </c>
      <c r="F470" s="38">
        <v>0.0</v>
      </c>
      <c r="G470" s="38">
        <v>1.0</v>
      </c>
      <c r="H470" s="38">
        <v>1.0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38">
        <v>469.0</v>
      </c>
      <c r="B471" s="39" t="s">
        <v>500</v>
      </c>
      <c r="C471" s="38">
        <v>0.0</v>
      </c>
      <c r="D471" s="38">
        <v>2.0</v>
      </c>
      <c r="E471" s="38">
        <v>0.0</v>
      </c>
      <c r="F471" s="38">
        <v>0.0</v>
      </c>
      <c r="G471" s="38">
        <v>1.0</v>
      </c>
      <c r="H471" s="38">
        <v>1.0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38">
        <v>470.0</v>
      </c>
      <c r="B472" s="39" t="s">
        <v>501</v>
      </c>
      <c r="C472" s="38">
        <v>0.0</v>
      </c>
      <c r="D472" s="38">
        <v>2.0</v>
      </c>
      <c r="E472" s="38">
        <v>0.0</v>
      </c>
      <c r="F472" s="38">
        <v>0.0</v>
      </c>
      <c r="G472" s="38">
        <v>1.0</v>
      </c>
      <c r="H472" s="38">
        <v>1.0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38">
        <v>471.0</v>
      </c>
      <c r="B473" s="39" t="s">
        <v>502</v>
      </c>
      <c r="C473" s="38">
        <v>0.0</v>
      </c>
      <c r="D473" s="38">
        <v>3.0</v>
      </c>
      <c r="E473" s="38">
        <v>0.0</v>
      </c>
      <c r="F473" s="38">
        <v>1.0</v>
      </c>
      <c r="G473" s="38">
        <v>0.0</v>
      </c>
      <c r="H473" s="38">
        <v>2.0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38">
        <v>472.0</v>
      </c>
      <c r="B474" s="39" t="s">
        <v>503</v>
      </c>
      <c r="C474" s="38">
        <v>0.0</v>
      </c>
      <c r="D474" s="38">
        <v>12.0</v>
      </c>
      <c r="E474" s="38">
        <v>0.0</v>
      </c>
      <c r="F474" s="38">
        <v>2.0</v>
      </c>
      <c r="G474" s="38">
        <v>3.0</v>
      </c>
      <c r="H474" s="38">
        <v>7.0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38">
        <v>473.0</v>
      </c>
      <c r="B475" s="39" t="s">
        <v>504</v>
      </c>
      <c r="C475" s="38">
        <v>0.0</v>
      </c>
      <c r="D475" s="38">
        <v>2.0</v>
      </c>
      <c r="E475" s="38">
        <v>0.0</v>
      </c>
      <c r="F475" s="38">
        <v>0.0</v>
      </c>
      <c r="G475" s="38">
        <v>1.0</v>
      </c>
      <c r="H475" s="38">
        <v>1.0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38">
        <v>474.0</v>
      </c>
      <c r="B476" s="39" t="s">
        <v>505</v>
      </c>
      <c r="C476" s="38">
        <v>0.0</v>
      </c>
      <c r="D476" s="38">
        <v>2.0</v>
      </c>
      <c r="E476" s="38">
        <v>0.0</v>
      </c>
      <c r="F476" s="38">
        <v>0.0</v>
      </c>
      <c r="G476" s="38">
        <v>1.0</v>
      </c>
      <c r="H476" s="38">
        <v>1.0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38">
        <v>475.0</v>
      </c>
      <c r="B477" s="39" t="s">
        <v>506</v>
      </c>
      <c r="C477" s="38">
        <v>0.0</v>
      </c>
      <c r="D477" s="38">
        <v>2.0</v>
      </c>
      <c r="E477" s="38">
        <v>0.0</v>
      </c>
      <c r="F477" s="38">
        <v>0.0</v>
      </c>
      <c r="G477" s="38">
        <v>1.0</v>
      </c>
      <c r="H477" s="38">
        <v>1.0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38">
        <v>476.0</v>
      </c>
      <c r="B478" s="39" t="s">
        <v>507</v>
      </c>
      <c r="C478" s="38">
        <v>0.0</v>
      </c>
      <c r="D478" s="38">
        <v>3.0</v>
      </c>
      <c r="E478" s="38">
        <v>0.0</v>
      </c>
      <c r="F478" s="38">
        <v>1.0</v>
      </c>
      <c r="G478" s="38">
        <v>0.0</v>
      </c>
      <c r="H478" s="38">
        <v>2.0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38">
        <v>477.0</v>
      </c>
      <c r="B479" s="39" t="s">
        <v>508</v>
      </c>
      <c r="C479" s="38">
        <v>0.0</v>
      </c>
      <c r="D479" s="38">
        <v>2.0</v>
      </c>
      <c r="E479" s="38">
        <v>0.0</v>
      </c>
      <c r="F479" s="38">
        <v>0.0</v>
      </c>
      <c r="G479" s="38">
        <v>1.0</v>
      </c>
      <c r="H479" s="38">
        <v>1.0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38">
        <v>478.0</v>
      </c>
      <c r="B480" s="39" t="s">
        <v>509</v>
      </c>
      <c r="C480" s="38">
        <v>0.0</v>
      </c>
      <c r="D480" s="38">
        <v>2.0</v>
      </c>
      <c r="E480" s="38">
        <v>0.0</v>
      </c>
      <c r="F480" s="38">
        <v>0.0</v>
      </c>
      <c r="G480" s="38">
        <v>1.0</v>
      </c>
      <c r="H480" s="38">
        <v>1.0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38">
        <v>479.0</v>
      </c>
      <c r="B481" s="39" t="s">
        <v>510</v>
      </c>
      <c r="C481" s="38">
        <v>0.0</v>
      </c>
      <c r="D481" s="38">
        <v>2.0</v>
      </c>
      <c r="E481" s="38">
        <v>0.0</v>
      </c>
      <c r="F481" s="38">
        <v>0.0</v>
      </c>
      <c r="G481" s="38">
        <v>1.0</v>
      </c>
      <c r="H481" s="38">
        <v>1.0</v>
      </c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38">
        <v>480.0</v>
      </c>
      <c r="B482" s="39" t="s">
        <v>511</v>
      </c>
      <c r="C482" s="38">
        <v>0.0</v>
      </c>
      <c r="D482" s="38">
        <v>3.0</v>
      </c>
      <c r="E482" s="38">
        <v>0.0</v>
      </c>
      <c r="F482" s="38">
        <v>1.0</v>
      </c>
      <c r="G482" s="38">
        <v>0.0</v>
      </c>
      <c r="H482" s="38">
        <v>2.0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38">
        <v>481.0</v>
      </c>
      <c r="B483" s="39" t="s">
        <v>512</v>
      </c>
      <c r="C483" s="38">
        <v>0.0</v>
      </c>
      <c r="D483" s="38">
        <v>3.0</v>
      </c>
      <c r="E483" s="38">
        <v>0.0</v>
      </c>
      <c r="F483" s="38">
        <v>1.0</v>
      </c>
      <c r="G483" s="38">
        <v>0.0</v>
      </c>
      <c r="H483" s="38">
        <v>2.0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38">
        <v>482.0</v>
      </c>
      <c r="B484" s="39" t="s">
        <v>513</v>
      </c>
      <c r="C484" s="38">
        <v>0.0</v>
      </c>
      <c r="D484" s="38">
        <v>3.0</v>
      </c>
      <c r="E484" s="38">
        <v>0.0</v>
      </c>
      <c r="F484" s="38">
        <v>1.0</v>
      </c>
      <c r="G484" s="38">
        <v>0.0</v>
      </c>
      <c r="H484" s="38">
        <v>2.0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38">
        <v>483.0</v>
      </c>
      <c r="B485" s="39" t="s">
        <v>514</v>
      </c>
      <c r="C485" s="38">
        <v>0.0</v>
      </c>
      <c r="D485" s="38">
        <v>3.0</v>
      </c>
      <c r="E485" s="38">
        <v>0.0</v>
      </c>
      <c r="F485" s="38">
        <v>1.0</v>
      </c>
      <c r="G485" s="38">
        <v>0.0</v>
      </c>
      <c r="H485" s="38">
        <v>2.0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38">
        <v>484.0</v>
      </c>
      <c r="B486" s="39" t="s">
        <v>515</v>
      </c>
      <c r="C486" s="38">
        <v>0.0</v>
      </c>
      <c r="D486" s="38">
        <v>14.0</v>
      </c>
      <c r="E486" s="38">
        <v>0.0</v>
      </c>
      <c r="F486" s="38">
        <v>4.0</v>
      </c>
      <c r="G486" s="38">
        <v>1.0</v>
      </c>
      <c r="H486" s="38">
        <v>9.0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38">
        <v>485.0</v>
      </c>
      <c r="B487" s="39" t="s">
        <v>516</v>
      </c>
      <c r="C487" s="38">
        <v>0.0</v>
      </c>
      <c r="D487" s="38">
        <v>2.0</v>
      </c>
      <c r="E487" s="38">
        <v>0.0</v>
      </c>
      <c r="F487" s="38">
        <v>0.0</v>
      </c>
      <c r="G487" s="38">
        <v>1.0</v>
      </c>
      <c r="H487" s="38">
        <v>1.0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38">
        <v>486.0</v>
      </c>
      <c r="B488" s="39" t="s">
        <v>517</v>
      </c>
      <c r="C488" s="38">
        <v>0.0</v>
      </c>
      <c r="D488" s="38">
        <v>2.0</v>
      </c>
      <c r="E488" s="38">
        <v>0.0</v>
      </c>
      <c r="F488" s="38">
        <v>0.0</v>
      </c>
      <c r="G488" s="38">
        <v>1.0</v>
      </c>
      <c r="H488" s="38">
        <v>1.0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38">
        <v>487.0</v>
      </c>
      <c r="B489" s="39" t="s">
        <v>518</v>
      </c>
      <c r="C489" s="38">
        <v>0.0</v>
      </c>
      <c r="D489" s="38">
        <v>11.0</v>
      </c>
      <c r="E489" s="38">
        <v>0.0</v>
      </c>
      <c r="F489" s="38">
        <v>3.0</v>
      </c>
      <c r="G489" s="38">
        <v>1.0</v>
      </c>
      <c r="H489" s="38">
        <v>7.0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38">
        <v>488.0</v>
      </c>
      <c r="B490" s="39" t="s">
        <v>519</v>
      </c>
      <c r="C490" s="38">
        <v>0.0</v>
      </c>
      <c r="D490" s="38">
        <v>6.0</v>
      </c>
      <c r="E490" s="38">
        <v>0.0</v>
      </c>
      <c r="F490" s="38">
        <v>2.0</v>
      </c>
      <c r="G490" s="38">
        <v>0.0</v>
      </c>
      <c r="H490" s="38">
        <v>4.0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38">
        <v>489.0</v>
      </c>
      <c r="B491" s="39" t="s">
        <v>520</v>
      </c>
      <c r="C491" s="38">
        <v>0.0</v>
      </c>
      <c r="D491" s="38">
        <v>2.0</v>
      </c>
      <c r="E491" s="38">
        <v>0.0</v>
      </c>
      <c r="F491" s="38">
        <v>0.0</v>
      </c>
      <c r="G491" s="38">
        <v>1.0</v>
      </c>
      <c r="H491" s="38">
        <v>1.0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38">
        <v>490.0</v>
      </c>
      <c r="B492" s="39" t="s">
        <v>521</v>
      </c>
      <c r="C492" s="38">
        <v>0.0</v>
      </c>
      <c r="D492" s="38">
        <v>2.0</v>
      </c>
      <c r="E492" s="38">
        <v>0.0</v>
      </c>
      <c r="F492" s="38">
        <v>0.0</v>
      </c>
      <c r="G492" s="38">
        <v>1.0</v>
      </c>
      <c r="H492" s="38">
        <v>1.0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38">
        <v>491.0</v>
      </c>
      <c r="B493" s="39" t="s">
        <v>522</v>
      </c>
      <c r="C493" s="38">
        <v>0.0</v>
      </c>
      <c r="D493" s="38">
        <v>2.0</v>
      </c>
      <c r="E493" s="38">
        <v>0.0</v>
      </c>
      <c r="F493" s="38">
        <v>0.0</v>
      </c>
      <c r="G493" s="38">
        <v>1.0</v>
      </c>
      <c r="H493" s="38">
        <v>1.0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38">
        <v>492.0</v>
      </c>
      <c r="B494" s="39" t="s">
        <v>523</v>
      </c>
      <c r="C494" s="38">
        <v>0.0</v>
      </c>
      <c r="D494" s="38">
        <v>2.0</v>
      </c>
      <c r="E494" s="38">
        <v>0.0</v>
      </c>
      <c r="F494" s="38">
        <v>0.0</v>
      </c>
      <c r="G494" s="38">
        <v>1.0</v>
      </c>
      <c r="H494" s="38">
        <v>1.0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38">
        <v>493.0</v>
      </c>
      <c r="B495" s="39" t="s">
        <v>524</v>
      </c>
      <c r="C495" s="38">
        <v>0.0</v>
      </c>
      <c r="D495" s="38">
        <v>3.0</v>
      </c>
      <c r="E495" s="38">
        <v>0.0</v>
      </c>
      <c r="F495" s="38">
        <v>1.0</v>
      </c>
      <c r="G495" s="38">
        <v>0.0</v>
      </c>
      <c r="H495" s="38">
        <v>2.0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38">
        <v>494.0</v>
      </c>
      <c r="B496" s="39" t="s">
        <v>525</v>
      </c>
      <c r="C496" s="38">
        <v>0.0</v>
      </c>
      <c r="D496" s="38">
        <v>2.0</v>
      </c>
      <c r="E496" s="38">
        <v>0.0</v>
      </c>
      <c r="F496" s="38">
        <v>0.0</v>
      </c>
      <c r="G496" s="38">
        <v>1.0</v>
      </c>
      <c r="H496" s="38">
        <v>1.0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38">
        <v>495.0</v>
      </c>
      <c r="B497" s="39" t="s">
        <v>526</v>
      </c>
      <c r="C497" s="38">
        <v>0.0</v>
      </c>
      <c r="D497" s="38">
        <v>2.0</v>
      </c>
      <c r="E497" s="38">
        <v>0.0</v>
      </c>
      <c r="F497" s="38">
        <v>0.0</v>
      </c>
      <c r="G497" s="38">
        <v>1.0</v>
      </c>
      <c r="H497" s="38">
        <v>1.0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38">
        <v>496.0</v>
      </c>
      <c r="B498" s="39" t="s">
        <v>527</v>
      </c>
      <c r="C498" s="38">
        <v>0.0</v>
      </c>
      <c r="D498" s="38">
        <v>3.0</v>
      </c>
      <c r="E498" s="38">
        <v>0.0</v>
      </c>
      <c r="F498" s="38">
        <v>1.0</v>
      </c>
      <c r="G498" s="38">
        <v>0.0</v>
      </c>
      <c r="H498" s="38">
        <v>2.0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38">
        <v>497.0</v>
      </c>
      <c r="B499" s="39" t="s">
        <v>528</v>
      </c>
      <c r="C499" s="38">
        <v>0.0</v>
      </c>
      <c r="D499" s="38">
        <v>3.0</v>
      </c>
      <c r="E499" s="38">
        <v>0.0</v>
      </c>
      <c r="F499" s="38">
        <v>1.0</v>
      </c>
      <c r="G499" s="38">
        <v>0.0</v>
      </c>
      <c r="H499" s="38">
        <v>2.0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38">
        <v>498.0</v>
      </c>
      <c r="B500" s="39" t="s">
        <v>529</v>
      </c>
      <c r="C500" s="38">
        <v>0.0</v>
      </c>
      <c r="D500" s="38">
        <v>3.0</v>
      </c>
      <c r="E500" s="38">
        <v>0.0</v>
      </c>
      <c r="F500" s="38">
        <v>1.0</v>
      </c>
      <c r="G500" s="38">
        <v>0.0</v>
      </c>
      <c r="H500" s="38">
        <v>2.0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38">
        <v>499.0</v>
      </c>
      <c r="B501" s="39" t="s">
        <v>530</v>
      </c>
      <c r="C501" s="38">
        <v>0.0</v>
      </c>
      <c r="D501" s="38">
        <v>3.0</v>
      </c>
      <c r="E501" s="38">
        <v>0.0</v>
      </c>
      <c r="F501" s="38">
        <v>1.0</v>
      </c>
      <c r="G501" s="38">
        <v>0.0</v>
      </c>
      <c r="H501" s="38">
        <v>2.0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38">
        <v>500.0</v>
      </c>
      <c r="B502" s="39" t="s">
        <v>531</v>
      </c>
      <c r="C502" s="38">
        <v>0.0</v>
      </c>
      <c r="D502" s="38">
        <v>3.0</v>
      </c>
      <c r="E502" s="38">
        <v>0.0</v>
      </c>
      <c r="F502" s="38">
        <v>1.0</v>
      </c>
      <c r="G502" s="38">
        <v>0.0</v>
      </c>
      <c r="H502" s="38">
        <v>2.0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38">
        <v>501.0</v>
      </c>
      <c r="B503" s="39" t="s">
        <v>532</v>
      </c>
      <c r="C503" s="38">
        <v>0.0</v>
      </c>
      <c r="D503" s="38">
        <v>4.0</v>
      </c>
      <c r="E503" s="38">
        <v>0.0</v>
      </c>
      <c r="F503" s="38">
        <v>0.0</v>
      </c>
      <c r="G503" s="38">
        <v>2.0</v>
      </c>
      <c r="H503" s="38">
        <v>2.0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38">
        <v>502.0</v>
      </c>
      <c r="B504" s="39" t="s">
        <v>533</v>
      </c>
      <c r="C504" s="38">
        <v>0.0</v>
      </c>
      <c r="D504" s="38">
        <v>3.0</v>
      </c>
      <c r="E504" s="38">
        <v>0.0</v>
      </c>
      <c r="F504" s="38">
        <v>1.0</v>
      </c>
      <c r="G504" s="38">
        <v>0.0</v>
      </c>
      <c r="H504" s="38">
        <v>2.0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38">
        <v>503.0</v>
      </c>
      <c r="B505" s="39" t="s">
        <v>534</v>
      </c>
      <c r="C505" s="38">
        <v>0.0</v>
      </c>
      <c r="D505" s="38">
        <v>2.0</v>
      </c>
      <c r="E505" s="38">
        <v>0.0</v>
      </c>
      <c r="F505" s="38">
        <v>0.0</v>
      </c>
      <c r="G505" s="38">
        <v>1.0</v>
      </c>
      <c r="H505" s="38">
        <v>1.0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38">
        <v>504.0</v>
      </c>
      <c r="B506" s="39" t="s">
        <v>535</v>
      </c>
      <c r="C506" s="38">
        <v>0.0</v>
      </c>
      <c r="D506" s="38">
        <v>2.0</v>
      </c>
      <c r="E506" s="38">
        <v>0.0</v>
      </c>
      <c r="F506" s="38">
        <v>0.0</v>
      </c>
      <c r="G506" s="38">
        <v>1.0</v>
      </c>
      <c r="H506" s="38">
        <v>1.0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38">
        <v>505.0</v>
      </c>
      <c r="B507" s="39" t="s">
        <v>536</v>
      </c>
      <c r="C507" s="38">
        <v>0.0</v>
      </c>
      <c r="D507" s="38">
        <v>3.0</v>
      </c>
      <c r="E507" s="38">
        <v>0.0</v>
      </c>
      <c r="F507" s="38">
        <v>1.0</v>
      </c>
      <c r="G507" s="38">
        <v>0.0</v>
      </c>
      <c r="H507" s="38">
        <v>2.0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38">
        <v>506.0</v>
      </c>
      <c r="B508" s="39" t="s">
        <v>537</v>
      </c>
      <c r="C508" s="38">
        <v>0.0</v>
      </c>
      <c r="D508" s="38">
        <v>2.0</v>
      </c>
      <c r="E508" s="38">
        <v>0.0</v>
      </c>
      <c r="F508" s="38">
        <v>0.0</v>
      </c>
      <c r="G508" s="38">
        <v>1.0</v>
      </c>
      <c r="H508" s="38">
        <v>1.0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38">
        <v>507.0</v>
      </c>
      <c r="B509" s="39" t="s">
        <v>538</v>
      </c>
      <c r="C509" s="38">
        <v>0.0</v>
      </c>
      <c r="D509" s="38">
        <v>2.0</v>
      </c>
      <c r="E509" s="38">
        <v>0.0</v>
      </c>
      <c r="F509" s="38">
        <v>0.0</v>
      </c>
      <c r="G509" s="38">
        <v>1.0</v>
      </c>
      <c r="H509" s="38">
        <v>1.0</v>
      </c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38">
        <v>508.0</v>
      </c>
      <c r="B510" s="39" t="s">
        <v>539</v>
      </c>
      <c r="C510" s="38">
        <v>0.0</v>
      </c>
      <c r="D510" s="38">
        <v>2.0</v>
      </c>
      <c r="E510" s="38">
        <v>0.0</v>
      </c>
      <c r="F510" s="38">
        <v>0.0</v>
      </c>
      <c r="G510" s="38">
        <v>1.0</v>
      </c>
      <c r="H510" s="38">
        <v>1.0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38">
        <v>509.0</v>
      </c>
      <c r="B511" s="39" t="s">
        <v>540</v>
      </c>
      <c r="C511" s="38">
        <v>0.0</v>
      </c>
      <c r="D511" s="38">
        <v>3.0</v>
      </c>
      <c r="E511" s="38">
        <v>0.0</v>
      </c>
      <c r="F511" s="38">
        <v>1.0</v>
      </c>
      <c r="G511" s="38">
        <v>0.0</v>
      </c>
      <c r="H511" s="38">
        <v>2.0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38">
        <v>510.0</v>
      </c>
      <c r="B512" s="39" t="s">
        <v>541</v>
      </c>
      <c r="C512" s="38">
        <v>0.0</v>
      </c>
      <c r="D512" s="38">
        <v>2.0</v>
      </c>
      <c r="E512" s="38">
        <v>0.0</v>
      </c>
      <c r="F512" s="38">
        <v>0.0</v>
      </c>
      <c r="G512" s="38">
        <v>1.0</v>
      </c>
      <c r="H512" s="38">
        <v>1.0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38">
        <v>511.0</v>
      </c>
      <c r="B513" s="39" t="s">
        <v>542</v>
      </c>
      <c r="C513" s="38">
        <v>0.0</v>
      </c>
      <c r="D513" s="38">
        <v>9.0</v>
      </c>
      <c r="E513" s="38">
        <v>0.0</v>
      </c>
      <c r="F513" s="38">
        <v>3.0</v>
      </c>
      <c r="G513" s="38">
        <v>0.0</v>
      </c>
      <c r="H513" s="38">
        <v>6.0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38">
        <v>512.0</v>
      </c>
      <c r="B514" s="39" t="s">
        <v>543</v>
      </c>
      <c r="C514" s="38">
        <v>0.0</v>
      </c>
      <c r="D514" s="38">
        <v>2.0</v>
      </c>
      <c r="E514" s="38">
        <v>0.0</v>
      </c>
      <c r="F514" s="38">
        <v>0.0</v>
      </c>
      <c r="G514" s="38">
        <v>1.0</v>
      </c>
      <c r="H514" s="38">
        <v>1.0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38">
        <v>513.0</v>
      </c>
      <c r="B515" s="39" t="s">
        <v>544</v>
      </c>
      <c r="C515" s="38">
        <v>0.0</v>
      </c>
      <c r="D515" s="38">
        <v>2.0</v>
      </c>
      <c r="E515" s="38">
        <v>0.0</v>
      </c>
      <c r="F515" s="38">
        <v>0.0</v>
      </c>
      <c r="G515" s="38">
        <v>1.0</v>
      </c>
      <c r="H515" s="38">
        <v>1.0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38">
        <v>514.0</v>
      </c>
      <c r="B516" s="39" t="s">
        <v>545</v>
      </c>
      <c r="C516" s="38">
        <v>0.0</v>
      </c>
      <c r="D516" s="38">
        <v>2.0</v>
      </c>
      <c r="E516" s="38">
        <v>0.0</v>
      </c>
      <c r="F516" s="38">
        <v>0.0</v>
      </c>
      <c r="G516" s="38">
        <v>1.0</v>
      </c>
      <c r="H516" s="38">
        <v>1.0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38">
        <v>515.0</v>
      </c>
      <c r="B517" s="39" t="s">
        <v>546</v>
      </c>
      <c r="C517" s="38">
        <v>0.0</v>
      </c>
      <c r="D517" s="38">
        <v>3.0</v>
      </c>
      <c r="E517" s="38">
        <v>0.0</v>
      </c>
      <c r="F517" s="38">
        <v>1.0</v>
      </c>
      <c r="G517" s="38">
        <v>0.0</v>
      </c>
      <c r="H517" s="38">
        <v>2.0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38">
        <v>516.0</v>
      </c>
      <c r="B518" s="39" t="s">
        <v>547</v>
      </c>
      <c r="C518" s="38">
        <v>0.0</v>
      </c>
      <c r="D518" s="38">
        <v>3.0</v>
      </c>
      <c r="E518" s="38">
        <v>0.0</v>
      </c>
      <c r="F518" s="38">
        <v>1.0</v>
      </c>
      <c r="G518" s="38">
        <v>0.0</v>
      </c>
      <c r="H518" s="38">
        <v>2.0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38">
        <v>517.0</v>
      </c>
      <c r="B519" s="39" t="s">
        <v>548</v>
      </c>
      <c r="C519" s="38">
        <v>0.0</v>
      </c>
      <c r="D519" s="38">
        <v>5.0</v>
      </c>
      <c r="E519" s="38">
        <v>0.0</v>
      </c>
      <c r="F519" s="38">
        <v>1.0</v>
      </c>
      <c r="G519" s="38">
        <v>1.0</v>
      </c>
      <c r="H519" s="38">
        <v>3.0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38">
        <v>518.0</v>
      </c>
      <c r="B520" s="39" t="s">
        <v>549</v>
      </c>
      <c r="C520" s="38">
        <v>0.0</v>
      </c>
      <c r="D520" s="38">
        <v>3.0</v>
      </c>
      <c r="E520" s="38">
        <v>0.0</v>
      </c>
      <c r="F520" s="38">
        <v>1.0</v>
      </c>
      <c r="G520" s="38">
        <v>0.0</v>
      </c>
      <c r="H520" s="38">
        <v>2.0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38">
        <v>519.0</v>
      </c>
      <c r="B521" s="39" t="s">
        <v>550</v>
      </c>
      <c r="C521" s="38">
        <v>0.0</v>
      </c>
      <c r="D521" s="38">
        <v>2.0</v>
      </c>
      <c r="E521" s="38">
        <v>0.0</v>
      </c>
      <c r="F521" s="38">
        <v>0.0</v>
      </c>
      <c r="G521" s="38">
        <v>1.0</v>
      </c>
      <c r="H521" s="38">
        <v>1.0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38">
        <v>520.0</v>
      </c>
      <c r="B522" s="39" t="s">
        <v>551</v>
      </c>
      <c r="C522" s="38">
        <v>0.0</v>
      </c>
      <c r="D522" s="38">
        <v>2.0</v>
      </c>
      <c r="E522" s="38">
        <v>0.0</v>
      </c>
      <c r="F522" s="38">
        <v>0.0</v>
      </c>
      <c r="G522" s="38">
        <v>1.0</v>
      </c>
      <c r="H522" s="38">
        <v>1.0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38">
        <v>521.0</v>
      </c>
      <c r="B523" s="39" t="s">
        <v>552</v>
      </c>
      <c r="C523" s="38">
        <v>0.0</v>
      </c>
      <c r="D523" s="38">
        <v>2.0</v>
      </c>
      <c r="E523" s="38">
        <v>0.0</v>
      </c>
      <c r="F523" s="38">
        <v>0.0</v>
      </c>
      <c r="G523" s="38">
        <v>1.0</v>
      </c>
      <c r="H523" s="38">
        <v>1.0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38">
        <v>522.0</v>
      </c>
      <c r="B524" s="39" t="s">
        <v>553</v>
      </c>
      <c r="C524" s="38">
        <v>0.0</v>
      </c>
      <c r="D524" s="38">
        <v>3.0</v>
      </c>
      <c r="E524" s="38">
        <v>0.0</v>
      </c>
      <c r="F524" s="38">
        <v>1.0</v>
      </c>
      <c r="G524" s="38">
        <v>0.0</v>
      </c>
      <c r="H524" s="38">
        <v>2.0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38">
        <v>523.0</v>
      </c>
      <c r="B525" s="39" t="s">
        <v>554</v>
      </c>
      <c r="C525" s="38">
        <v>0.0</v>
      </c>
      <c r="D525" s="38">
        <v>2.0</v>
      </c>
      <c r="E525" s="38">
        <v>0.0</v>
      </c>
      <c r="F525" s="38">
        <v>0.0</v>
      </c>
      <c r="G525" s="38">
        <v>1.0</v>
      </c>
      <c r="H525" s="38">
        <v>1.0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38">
        <v>524.0</v>
      </c>
      <c r="B526" s="39" t="s">
        <v>555</v>
      </c>
      <c r="C526" s="38">
        <v>0.0</v>
      </c>
      <c r="D526" s="38">
        <v>3.0</v>
      </c>
      <c r="E526" s="38">
        <v>0.0</v>
      </c>
      <c r="F526" s="38">
        <v>1.0</v>
      </c>
      <c r="G526" s="38">
        <v>0.0</v>
      </c>
      <c r="H526" s="38">
        <v>2.0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38">
        <v>525.0</v>
      </c>
      <c r="B527" s="39" t="s">
        <v>556</v>
      </c>
      <c r="C527" s="38">
        <v>0.0</v>
      </c>
      <c r="D527" s="38">
        <v>2.0</v>
      </c>
      <c r="E527" s="38">
        <v>0.0</v>
      </c>
      <c r="F527" s="38">
        <v>0.0</v>
      </c>
      <c r="G527" s="38">
        <v>1.0</v>
      </c>
      <c r="H527" s="38">
        <v>1.0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38">
        <v>526.0</v>
      </c>
      <c r="B528" s="39" t="s">
        <v>557</v>
      </c>
      <c r="C528" s="38">
        <v>0.0</v>
      </c>
      <c r="D528" s="38">
        <v>3.0</v>
      </c>
      <c r="E528" s="38">
        <v>0.0</v>
      </c>
      <c r="F528" s="38">
        <v>1.0</v>
      </c>
      <c r="G528" s="38">
        <v>0.0</v>
      </c>
      <c r="H528" s="38">
        <v>2.0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38">
        <v>527.0</v>
      </c>
      <c r="B529" s="39" t="s">
        <v>558</v>
      </c>
      <c r="C529" s="38">
        <v>0.0</v>
      </c>
      <c r="D529" s="38">
        <v>2.0</v>
      </c>
      <c r="E529" s="38">
        <v>0.0</v>
      </c>
      <c r="F529" s="38">
        <v>0.0</v>
      </c>
      <c r="G529" s="38">
        <v>1.0</v>
      </c>
      <c r="H529" s="38">
        <v>1.0</v>
      </c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38">
        <v>528.0</v>
      </c>
      <c r="B530" s="39" t="s">
        <v>559</v>
      </c>
      <c r="C530" s="38">
        <v>0.0</v>
      </c>
      <c r="D530" s="38">
        <v>2.0</v>
      </c>
      <c r="E530" s="38">
        <v>0.0</v>
      </c>
      <c r="F530" s="38">
        <v>0.0</v>
      </c>
      <c r="G530" s="38">
        <v>1.0</v>
      </c>
      <c r="H530" s="38">
        <v>1.0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38">
        <v>529.0</v>
      </c>
      <c r="B531" s="39" t="s">
        <v>560</v>
      </c>
      <c r="C531" s="38">
        <v>0.0</v>
      </c>
      <c r="D531" s="38">
        <v>2.0</v>
      </c>
      <c r="E531" s="38">
        <v>0.0</v>
      </c>
      <c r="F531" s="38">
        <v>0.0</v>
      </c>
      <c r="G531" s="38">
        <v>1.0</v>
      </c>
      <c r="H531" s="38">
        <v>1.0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38">
        <v>530.0</v>
      </c>
      <c r="B532" s="39" t="s">
        <v>561</v>
      </c>
      <c r="C532" s="38">
        <v>0.0</v>
      </c>
      <c r="D532" s="38">
        <v>2.0</v>
      </c>
      <c r="E532" s="38">
        <v>0.0</v>
      </c>
      <c r="F532" s="38">
        <v>0.0</v>
      </c>
      <c r="G532" s="38">
        <v>1.0</v>
      </c>
      <c r="H532" s="38">
        <v>1.0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38">
        <v>531.0</v>
      </c>
      <c r="B533" s="39" t="s">
        <v>562</v>
      </c>
      <c r="C533" s="38">
        <v>0.0</v>
      </c>
      <c r="D533" s="38">
        <v>5.0</v>
      </c>
      <c r="E533" s="38">
        <v>0.0</v>
      </c>
      <c r="F533" s="38">
        <v>1.0</v>
      </c>
      <c r="G533" s="38">
        <v>1.0</v>
      </c>
      <c r="H533" s="38">
        <v>3.0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38">
        <v>532.0</v>
      </c>
      <c r="B534" s="39" t="s">
        <v>563</v>
      </c>
      <c r="C534" s="38">
        <v>0.0</v>
      </c>
      <c r="D534" s="38">
        <v>6.0</v>
      </c>
      <c r="E534" s="38">
        <v>0.0</v>
      </c>
      <c r="F534" s="38">
        <v>2.0</v>
      </c>
      <c r="G534" s="38">
        <v>0.0</v>
      </c>
      <c r="H534" s="38">
        <v>4.0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38">
        <v>533.0</v>
      </c>
      <c r="B535" s="39" t="s">
        <v>564</v>
      </c>
      <c r="C535" s="38">
        <v>0.0</v>
      </c>
      <c r="D535" s="38">
        <v>2.0</v>
      </c>
      <c r="E535" s="38">
        <v>0.0</v>
      </c>
      <c r="F535" s="38">
        <v>0.0</v>
      </c>
      <c r="G535" s="38">
        <v>1.0</v>
      </c>
      <c r="H535" s="38">
        <v>1.0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38">
        <v>534.0</v>
      </c>
      <c r="B536" s="39" t="s">
        <v>565</v>
      </c>
      <c r="C536" s="38">
        <v>0.0</v>
      </c>
      <c r="D536" s="38">
        <v>3.0</v>
      </c>
      <c r="E536" s="38">
        <v>0.0</v>
      </c>
      <c r="F536" s="38">
        <v>1.0</v>
      </c>
      <c r="G536" s="38">
        <v>0.0</v>
      </c>
      <c r="H536" s="38">
        <v>2.0</v>
      </c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38">
        <v>535.0</v>
      </c>
      <c r="B537" s="39" t="s">
        <v>566</v>
      </c>
      <c r="C537" s="38">
        <v>0.0</v>
      </c>
      <c r="D537" s="38">
        <v>2.0</v>
      </c>
      <c r="E537" s="38">
        <v>0.0</v>
      </c>
      <c r="F537" s="38">
        <v>0.0</v>
      </c>
      <c r="G537" s="38">
        <v>1.0</v>
      </c>
      <c r="H537" s="38">
        <v>1.0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38">
        <v>536.0</v>
      </c>
      <c r="B538" s="39" t="s">
        <v>567</v>
      </c>
      <c r="C538" s="38">
        <v>0.0</v>
      </c>
      <c r="D538" s="38">
        <v>2.0</v>
      </c>
      <c r="E538" s="38">
        <v>0.0</v>
      </c>
      <c r="F538" s="38">
        <v>0.0</v>
      </c>
      <c r="G538" s="38">
        <v>1.0</v>
      </c>
      <c r="H538" s="38">
        <v>1.0</v>
      </c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38">
        <v>537.0</v>
      </c>
      <c r="B539" s="39" t="s">
        <v>568</v>
      </c>
      <c r="C539" s="38">
        <v>0.0</v>
      </c>
      <c r="D539" s="38">
        <v>2.0</v>
      </c>
      <c r="E539" s="38">
        <v>0.0</v>
      </c>
      <c r="F539" s="38">
        <v>0.0</v>
      </c>
      <c r="G539" s="38">
        <v>1.0</v>
      </c>
      <c r="H539" s="38">
        <v>1.0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38">
        <v>538.0</v>
      </c>
      <c r="B540" s="39" t="s">
        <v>569</v>
      </c>
      <c r="C540" s="38">
        <v>0.0</v>
      </c>
      <c r="D540" s="38">
        <v>4.0</v>
      </c>
      <c r="E540" s="38">
        <v>0.0</v>
      </c>
      <c r="F540" s="38">
        <v>0.0</v>
      </c>
      <c r="G540" s="38">
        <v>2.0</v>
      </c>
      <c r="H540" s="38">
        <v>2.0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38">
        <v>539.0</v>
      </c>
      <c r="B541" s="39" t="s">
        <v>570</v>
      </c>
      <c r="C541" s="38">
        <v>0.0</v>
      </c>
      <c r="D541" s="38">
        <v>3.0</v>
      </c>
      <c r="E541" s="38">
        <v>0.0</v>
      </c>
      <c r="F541" s="38">
        <v>1.0</v>
      </c>
      <c r="G541" s="38">
        <v>0.0</v>
      </c>
      <c r="H541" s="38">
        <v>2.0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38">
        <v>540.0</v>
      </c>
      <c r="B542" s="39" t="s">
        <v>571</v>
      </c>
      <c r="C542" s="38">
        <v>0.0</v>
      </c>
      <c r="D542" s="38">
        <v>2.0</v>
      </c>
      <c r="E542" s="38">
        <v>0.0</v>
      </c>
      <c r="F542" s="38">
        <v>0.0</v>
      </c>
      <c r="G542" s="38">
        <v>1.0</v>
      </c>
      <c r="H542" s="38">
        <v>1.0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38">
        <v>541.0</v>
      </c>
      <c r="B543" s="39" t="s">
        <v>572</v>
      </c>
      <c r="C543" s="38">
        <v>0.0</v>
      </c>
      <c r="D543" s="38">
        <v>2.0</v>
      </c>
      <c r="E543" s="38">
        <v>0.0</v>
      </c>
      <c r="F543" s="38">
        <v>0.0</v>
      </c>
      <c r="G543" s="38">
        <v>1.0</v>
      </c>
      <c r="H543" s="38">
        <v>1.0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38">
        <v>542.0</v>
      </c>
      <c r="B544" s="39" t="s">
        <v>573</v>
      </c>
      <c r="C544" s="38">
        <v>0.0</v>
      </c>
      <c r="D544" s="38">
        <v>2.0</v>
      </c>
      <c r="E544" s="38">
        <v>0.0</v>
      </c>
      <c r="F544" s="38">
        <v>0.0</v>
      </c>
      <c r="G544" s="38">
        <v>1.0</v>
      </c>
      <c r="H544" s="38">
        <v>1.0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38">
        <v>543.0</v>
      </c>
      <c r="B545" s="39" t="s">
        <v>574</v>
      </c>
      <c r="C545" s="38">
        <v>0.0</v>
      </c>
      <c r="D545" s="38">
        <v>2.0</v>
      </c>
      <c r="E545" s="38">
        <v>0.0</v>
      </c>
      <c r="F545" s="38">
        <v>0.0</v>
      </c>
      <c r="G545" s="38">
        <v>1.0</v>
      </c>
      <c r="H545" s="38">
        <v>1.0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38">
        <v>544.0</v>
      </c>
      <c r="B546" s="39" t="s">
        <v>575</v>
      </c>
      <c r="C546" s="38">
        <v>0.0</v>
      </c>
      <c r="D546" s="38">
        <v>3.0</v>
      </c>
      <c r="E546" s="38">
        <v>0.0</v>
      </c>
      <c r="F546" s="38">
        <v>1.0</v>
      </c>
      <c r="G546" s="38">
        <v>0.0</v>
      </c>
      <c r="H546" s="38">
        <v>2.0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38">
        <v>545.0</v>
      </c>
      <c r="B547" s="39" t="s">
        <v>576</v>
      </c>
      <c r="C547" s="38">
        <v>0.0</v>
      </c>
      <c r="D547" s="38">
        <v>2.0</v>
      </c>
      <c r="E547" s="38">
        <v>0.0</v>
      </c>
      <c r="F547" s="38">
        <v>0.0</v>
      </c>
      <c r="G547" s="38">
        <v>1.0</v>
      </c>
      <c r="H547" s="38">
        <v>1.0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38">
        <v>546.0</v>
      </c>
      <c r="B548" s="39" t="s">
        <v>577</v>
      </c>
      <c r="C548" s="38">
        <v>0.0</v>
      </c>
      <c r="D548" s="38">
        <v>5.0</v>
      </c>
      <c r="E548" s="38">
        <v>0.0</v>
      </c>
      <c r="F548" s="38">
        <v>1.0</v>
      </c>
      <c r="G548" s="38">
        <v>1.0</v>
      </c>
      <c r="H548" s="38">
        <v>3.0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38">
        <v>547.0</v>
      </c>
      <c r="B549" s="39" t="s">
        <v>578</v>
      </c>
      <c r="C549" s="38">
        <v>0.0</v>
      </c>
      <c r="D549" s="38">
        <v>3.0</v>
      </c>
      <c r="E549" s="38">
        <v>0.0</v>
      </c>
      <c r="F549" s="38">
        <v>1.0</v>
      </c>
      <c r="G549" s="38">
        <v>0.0</v>
      </c>
      <c r="H549" s="38">
        <v>2.0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38">
        <v>548.0</v>
      </c>
      <c r="B550" s="39" t="s">
        <v>579</v>
      </c>
      <c r="C550" s="38">
        <v>0.0</v>
      </c>
      <c r="D550" s="38">
        <v>2.0</v>
      </c>
      <c r="E550" s="38">
        <v>0.0</v>
      </c>
      <c r="F550" s="38">
        <v>0.0</v>
      </c>
      <c r="G550" s="38">
        <v>1.0</v>
      </c>
      <c r="H550" s="38">
        <v>1.0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38">
        <v>549.0</v>
      </c>
      <c r="B551" s="39" t="s">
        <v>580</v>
      </c>
      <c r="C551" s="38">
        <v>0.0</v>
      </c>
      <c r="D551" s="38">
        <v>2.0</v>
      </c>
      <c r="E551" s="38">
        <v>0.0</v>
      </c>
      <c r="F551" s="38">
        <v>0.0</v>
      </c>
      <c r="G551" s="38">
        <v>1.0</v>
      </c>
      <c r="H551" s="38">
        <v>1.0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38">
        <v>550.0</v>
      </c>
      <c r="B552" s="39" t="s">
        <v>581</v>
      </c>
      <c r="C552" s="38">
        <v>0.0</v>
      </c>
      <c r="D552" s="38">
        <v>5.0</v>
      </c>
      <c r="E552" s="38">
        <v>0.0</v>
      </c>
      <c r="F552" s="38">
        <v>1.0</v>
      </c>
      <c r="G552" s="38">
        <v>1.0</v>
      </c>
      <c r="H552" s="38">
        <v>3.0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38">
        <v>551.0</v>
      </c>
      <c r="B553" s="39" t="s">
        <v>582</v>
      </c>
      <c r="C553" s="38">
        <v>0.0</v>
      </c>
      <c r="D553" s="38">
        <v>3.0</v>
      </c>
      <c r="E553" s="38">
        <v>0.0</v>
      </c>
      <c r="F553" s="38">
        <v>1.0</v>
      </c>
      <c r="G553" s="38">
        <v>0.0</v>
      </c>
      <c r="H553" s="38">
        <v>2.0</v>
      </c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38">
        <v>552.0</v>
      </c>
      <c r="B554" s="39" t="s">
        <v>583</v>
      </c>
      <c r="C554" s="38">
        <v>0.0</v>
      </c>
      <c r="D554" s="38">
        <v>3.0</v>
      </c>
      <c r="E554" s="38">
        <v>0.0</v>
      </c>
      <c r="F554" s="38">
        <v>1.0</v>
      </c>
      <c r="G554" s="38">
        <v>0.0</v>
      </c>
      <c r="H554" s="38">
        <v>2.0</v>
      </c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38">
        <v>553.0</v>
      </c>
      <c r="B555" s="39" t="s">
        <v>584</v>
      </c>
      <c r="C555" s="38">
        <v>0.0</v>
      </c>
      <c r="D555" s="38">
        <v>2.0</v>
      </c>
      <c r="E555" s="38">
        <v>0.0</v>
      </c>
      <c r="F555" s="38">
        <v>0.0</v>
      </c>
      <c r="G555" s="38">
        <v>1.0</v>
      </c>
      <c r="H555" s="38">
        <v>1.0</v>
      </c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38">
        <v>554.0</v>
      </c>
      <c r="B556" s="39" t="s">
        <v>585</v>
      </c>
      <c r="C556" s="38">
        <v>0.0</v>
      </c>
      <c r="D556" s="38">
        <v>2.0</v>
      </c>
      <c r="E556" s="38">
        <v>0.0</v>
      </c>
      <c r="F556" s="38">
        <v>0.0</v>
      </c>
      <c r="G556" s="38">
        <v>1.0</v>
      </c>
      <c r="H556" s="38">
        <v>1.0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38">
        <v>555.0</v>
      </c>
      <c r="B557" s="39" t="s">
        <v>586</v>
      </c>
      <c r="C557" s="38">
        <v>0.0</v>
      </c>
      <c r="D557" s="38">
        <v>3.0</v>
      </c>
      <c r="E557" s="38">
        <v>0.0</v>
      </c>
      <c r="F557" s="38">
        <v>1.0</v>
      </c>
      <c r="G557" s="38">
        <v>0.0</v>
      </c>
      <c r="H557" s="38">
        <v>2.0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38">
        <v>556.0</v>
      </c>
      <c r="B558" s="39" t="s">
        <v>587</v>
      </c>
      <c r="C558" s="38">
        <v>-1.0</v>
      </c>
      <c r="D558" s="38">
        <v>3.0</v>
      </c>
      <c r="E558" s="38">
        <v>0.0</v>
      </c>
      <c r="F558" s="38">
        <v>0.0</v>
      </c>
      <c r="G558" s="38">
        <v>1.0</v>
      </c>
      <c r="H558" s="38">
        <v>2.0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38">
        <v>557.0</v>
      </c>
      <c r="B559" s="39" t="s">
        <v>588</v>
      </c>
      <c r="C559" s="38">
        <v>-1.0</v>
      </c>
      <c r="D559" s="38">
        <v>3.0</v>
      </c>
      <c r="E559" s="38">
        <v>0.0</v>
      </c>
      <c r="F559" s="38">
        <v>0.0</v>
      </c>
      <c r="G559" s="38">
        <v>1.0</v>
      </c>
      <c r="H559" s="38">
        <v>2.0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38">
        <v>558.0</v>
      </c>
      <c r="B560" s="39" t="s">
        <v>589</v>
      </c>
      <c r="C560" s="38">
        <v>-1.0</v>
      </c>
      <c r="D560" s="38">
        <v>4.0</v>
      </c>
      <c r="E560" s="38">
        <v>0.0</v>
      </c>
      <c r="F560" s="38">
        <v>1.0</v>
      </c>
      <c r="G560" s="38">
        <v>0.0</v>
      </c>
      <c r="H560" s="38">
        <v>3.0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38">
        <v>559.0</v>
      </c>
      <c r="B561" s="39" t="s">
        <v>590</v>
      </c>
      <c r="C561" s="38">
        <v>-1.0</v>
      </c>
      <c r="D561" s="38">
        <v>4.0</v>
      </c>
      <c r="E561" s="38">
        <v>0.0</v>
      </c>
      <c r="F561" s="38">
        <v>1.0</v>
      </c>
      <c r="G561" s="38">
        <v>0.0</v>
      </c>
      <c r="H561" s="38">
        <v>3.0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38">
        <v>560.0</v>
      </c>
      <c r="B562" s="39" t="s">
        <v>591</v>
      </c>
      <c r="C562" s="38">
        <v>-1.0</v>
      </c>
      <c r="D562" s="38">
        <v>3.0</v>
      </c>
      <c r="E562" s="38">
        <v>0.0</v>
      </c>
      <c r="F562" s="38">
        <v>0.0</v>
      </c>
      <c r="G562" s="38">
        <v>1.0</v>
      </c>
      <c r="H562" s="38">
        <v>2.0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38">
        <v>561.0</v>
      </c>
      <c r="B563" s="39" t="s">
        <v>592</v>
      </c>
      <c r="C563" s="38">
        <v>-1.0</v>
      </c>
      <c r="D563" s="38">
        <v>7.0</v>
      </c>
      <c r="E563" s="38">
        <v>0.0</v>
      </c>
      <c r="F563" s="38">
        <v>2.0</v>
      </c>
      <c r="G563" s="38">
        <v>0.0</v>
      </c>
      <c r="H563" s="38">
        <v>5.0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38">
        <v>562.0</v>
      </c>
      <c r="B564" s="39" t="s">
        <v>593</v>
      </c>
      <c r="C564" s="38">
        <v>-1.0</v>
      </c>
      <c r="D564" s="38">
        <v>4.0</v>
      </c>
      <c r="E564" s="38">
        <v>0.0</v>
      </c>
      <c r="F564" s="38">
        <v>1.0</v>
      </c>
      <c r="G564" s="38">
        <v>0.0</v>
      </c>
      <c r="H564" s="38">
        <v>3.0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38">
        <v>563.0</v>
      </c>
      <c r="B565" s="39" t="s">
        <v>594</v>
      </c>
      <c r="C565" s="38">
        <v>-1.0</v>
      </c>
      <c r="D565" s="38">
        <v>3.0</v>
      </c>
      <c r="E565" s="38">
        <v>0.0</v>
      </c>
      <c r="F565" s="38">
        <v>0.0</v>
      </c>
      <c r="G565" s="38">
        <v>1.0</v>
      </c>
      <c r="H565" s="38">
        <v>2.0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38">
        <v>564.0</v>
      </c>
      <c r="B566" s="39" t="s">
        <v>595</v>
      </c>
      <c r="C566" s="38">
        <v>-1.0</v>
      </c>
      <c r="D566" s="38">
        <v>3.0</v>
      </c>
      <c r="E566" s="38">
        <v>0.0</v>
      </c>
      <c r="F566" s="38">
        <v>0.0</v>
      </c>
      <c r="G566" s="38">
        <v>1.0</v>
      </c>
      <c r="H566" s="38">
        <v>2.0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38">
        <v>565.0</v>
      </c>
      <c r="B567" s="39" t="s">
        <v>596</v>
      </c>
      <c r="C567" s="38">
        <v>-1.0</v>
      </c>
      <c r="D567" s="38">
        <v>3.0</v>
      </c>
      <c r="E567" s="38">
        <v>0.0</v>
      </c>
      <c r="F567" s="38">
        <v>0.0</v>
      </c>
      <c r="G567" s="38">
        <v>1.0</v>
      </c>
      <c r="H567" s="38">
        <v>2.0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38">
        <v>566.0</v>
      </c>
      <c r="B568" s="39" t="s">
        <v>597</v>
      </c>
      <c r="C568" s="38">
        <v>-1.0</v>
      </c>
      <c r="D568" s="38">
        <v>9.0</v>
      </c>
      <c r="E568" s="38">
        <v>0.0</v>
      </c>
      <c r="F568" s="38">
        <v>2.0</v>
      </c>
      <c r="G568" s="38">
        <v>1.0</v>
      </c>
      <c r="H568" s="38">
        <v>6.0</v>
      </c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38">
        <v>567.0</v>
      </c>
      <c r="B569" s="39" t="s">
        <v>598</v>
      </c>
      <c r="C569" s="38">
        <v>-1.0</v>
      </c>
      <c r="D569" s="38">
        <v>4.0</v>
      </c>
      <c r="E569" s="38">
        <v>0.0</v>
      </c>
      <c r="F569" s="38">
        <v>1.0</v>
      </c>
      <c r="G569" s="38">
        <v>0.0</v>
      </c>
      <c r="H569" s="38">
        <v>3.0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38">
        <v>568.0</v>
      </c>
      <c r="B570" s="39" t="s">
        <v>599</v>
      </c>
      <c r="C570" s="38">
        <v>-1.0</v>
      </c>
      <c r="D570" s="38">
        <v>4.0</v>
      </c>
      <c r="E570" s="38">
        <v>0.0</v>
      </c>
      <c r="F570" s="38">
        <v>1.0</v>
      </c>
      <c r="G570" s="38">
        <v>0.0</v>
      </c>
      <c r="H570" s="38">
        <v>3.0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38">
        <v>569.0</v>
      </c>
      <c r="B571" s="39" t="s">
        <v>600</v>
      </c>
      <c r="C571" s="38">
        <v>-1.0</v>
      </c>
      <c r="D571" s="38">
        <v>6.0</v>
      </c>
      <c r="E571" s="38">
        <v>0.0</v>
      </c>
      <c r="F571" s="38">
        <v>1.0</v>
      </c>
      <c r="G571" s="38">
        <v>1.0</v>
      </c>
      <c r="H571" s="38">
        <v>4.0</v>
      </c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38">
        <v>570.0</v>
      </c>
      <c r="B572" s="39" t="s">
        <v>601</v>
      </c>
      <c r="C572" s="38">
        <v>-1.0</v>
      </c>
      <c r="D572" s="38">
        <v>4.0</v>
      </c>
      <c r="E572" s="38">
        <v>0.0</v>
      </c>
      <c r="F572" s="38">
        <v>1.0</v>
      </c>
      <c r="G572" s="38">
        <v>0.0</v>
      </c>
      <c r="H572" s="38">
        <v>3.0</v>
      </c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38">
        <v>571.0</v>
      </c>
      <c r="B573" s="39" t="s">
        <v>602</v>
      </c>
      <c r="C573" s="38">
        <v>-1.0</v>
      </c>
      <c r="D573" s="38">
        <v>4.0</v>
      </c>
      <c r="E573" s="38">
        <v>0.0</v>
      </c>
      <c r="F573" s="38">
        <v>1.0</v>
      </c>
      <c r="G573" s="38">
        <v>0.0</v>
      </c>
      <c r="H573" s="38">
        <v>3.0</v>
      </c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38">
        <v>572.0</v>
      </c>
      <c r="B574" s="39" t="s">
        <v>603</v>
      </c>
      <c r="C574" s="38">
        <v>-1.0</v>
      </c>
      <c r="D574" s="38">
        <v>3.0</v>
      </c>
      <c r="E574" s="38">
        <v>0.0</v>
      </c>
      <c r="F574" s="38">
        <v>0.0</v>
      </c>
      <c r="G574" s="38">
        <v>1.0</v>
      </c>
      <c r="H574" s="38">
        <v>2.0</v>
      </c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38">
        <v>573.0</v>
      </c>
      <c r="B575" s="39" t="s">
        <v>604</v>
      </c>
      <c r="C575" s="38">
        <v>-1.0</v>
      </c>
      <c r="D575" s="38">
        <v>4.0</v>
      </c>
      <c r="E575" s="38">
        <v>0.0</v>
      </c>
      <c r="F575" s="38">
        <v>1.0</v>
      </c>
      <c r="G575" s="38">
        <v>0.0</v>
      </c>
      <c r="H575" s="38">
        <v>3.0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38">
        <v>574.0</v>
      </c>
      <c r="B576" s="39" t="s">
        <v>605</v>
      </c>
      <c r="C576" s="38">
        <v>-1.0</v>
      </c>
      <c r="D576" s="38">
        <v>13.0</v>
      </c>
      <c r="E576" s="38">
        <v>0.0</v>
      </c>
      <c r="F576" s="38">
        <v>2.0</v>
      </c>
      <c r="G576" s="38">
        <v>3.0</v>
      </c>
      <c r="H576" s="38">
        <v>8.0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38">
        <v>575.0</v>
      </c>
      <c r="B577" s="39" t="s">
        <v>606</v>
      </c>
      <c r="C577" s="38">
        <v>-1.0</v>
      </c>
      <c r="D577" s="38">
        <v>3.0</v>
      </c>
      <c r="E577" s="38">
        <v>0.0</v>
      </c>
      <c r="F577" s="38">
        <v>0.0</v>
      </c>
      <c r="G577" s="38">
        <v>1.0</v>
      </c>
      <c r="H577" s="38">
        <v>2.0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38">
        <v>576.0</v>
      </c>
      <c r="B578" s="39" t="s">
        <v>607</v>
      </c>
      <c r="C578" s="38">
        <v>-1.0</v>
      </c>
      <c r="D578" s="38">
        <v>4.0</v>
      </c>
      <c r="E578" s="38">
        <v>0.0</v>
      </c>
      <c r="F578" s="38">
        <v>1.0</v>
      </c>
      <c r="G578" s="38">
        <v>0.0</v>
      </c>
      <c r="H578" s="38">
        <v>3.0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38">
        <v>577.0</v>
      </c>
      <c r="B579" s="39" t="s">
        <v>608</v>
      </c>
      <c r="C579" s="38">
        <v>-1.0</v>
      </c>
      <c r="D579" s="38">
        <v>4.0</v>
      </c>
      <c r="E579" s="38">
        <v>0.0</v>
      </c>
      <c r="F579" s="38">
        <v>1.0</v>
      </c>
      <c r="G579" s="38">
        <v>0.0</v>
      </c>
      <c r="H579" s="38">
        <v>3.0</v>
      </c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38">
        <v>578.0</v>
      </c>
      <c r="B580" s="39" t="s">
        <v>609</v>
      </c>
      <c r="C580" s="38">
        <v>-1.0</v>
      </c>
      <c r="D580" s="38">
        <v>7.0</v>
      </c>
      <c r="E580" s="38">
        <v>0.0</v>
      </c>
      <c r="F580" s="38">
        <v>2.0</v>
      </c>
      <c r="G580" s="38">
        <v>0.0</v>
      </c>
      <c r="H580" s="38">
        <v>5.0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38">
        <v>579.0</v>
      </c>
      <c r="B581" s="39" t="s">
        <v>610</v>
      </c>
      <c r="C581" s="38">
        <v>-1.0</v>
      </c>
      <c r="D581" s="38">
        <v>6.0</v>
      </c>
      <c r="E581" s="38">
        <v>0.0</v>
      </c>
      <c r="F581" s="38">
        <v>1.0</v>
      </c>
      <c r="G581" s="38">
        <v>1.0</v>
      </c>
      <c r="H581" s="38">
        <v>4.0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38">
        <v>580.0</v>
      </c>
      <c r="B582" s="39" t="s">
        <v>611</v>
      </c>
      <c r="C582" s="38">
        <v>-1.0</v>
      </c>
      <c r="D582" s="38">
        <v>117.0</v>
      </c>
      <c r="E582" s="38">
        <v>0.0</v>
      </c>
      <c r="F582" s="38">
        <v>34.0</v>
      </c>
      <c r="G582" s="38">
        <v>7.0</v>
      </c>
      <c r="H582" s="38">
        <v>76.0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38">
        <v>581.0</v>
      </c>
      <c r="B583" s="39" t="s">
        <v>612</v>
      </c>
      <c r="C583" s="38">
        <v>-1.0</v>
      </c>
      <c r="D583" s="38">
        <v>6.0</v>
      </c>
      <c r="E583" s="38">
        <v>0.0</v>
      </c>
      <c r="F583" s="38">
        <v>1.0</v>
      </c>
      <c r="G583" s="38">
        <v>1.0</v>
      </c>
      <c r="H583" s="38">
        <v>4.0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38">
        <v>582.0</v>
      </c>
      <c r="B584" s="39" t="s">
        <v>613</v>
      </c>
      <c r="C584" s="38">
        <v>-1.0</v>
      </c>
      <c r="D584" s="38">
        <v>3.0</v>
      </c>
      <c r="E584" s="38">
        <v>0.0</v>
      </c>
      <c r="F584" s="38">
        <v>0.0</v>
      </c>
      <c r="G584" s="38">
        <v>1.0</v>
      </c>
      <c r="H584" s="38">
        <v>2.0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38">
        <v>583.0</v>
      </c>
      <c r="B585" s="39" t="s">
        <v>614</v>
      </c>
      <c r="C585" s="38">
        <v>-1.0</v>
      </c>
      <c r="D585" s="38">
        <v>13.0</v>
      </c>
      <c r="E585" s="38">
        <v>0.0</v>
      </c>
      <c r="F585" s="38">
        <v>4.0</v>
      </c>
      <c r="G585" s="38">
        <v>0.0</v>
      </c>
      <c r="H585" s="38">
        <v>9.0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38">
        <v>584.0</v>
      </c>
      <c r="B586" s="39" t="s">
        <v>615</v>
      </c>
      <c r="C586" s="38">
        <v>-1.0</v>
      </c>
      <c r="D586" s="38">
        <v>7.0</v>
      </c>
      <c r="E586" s="38">
        <v>0.0</v>
      </c>
      <c r="F586" s="38">
        <v>2.0</v>
      </c>
      <c r="G586" s="38">
        <v>0.0</v>
      </c>
      <c r="H586" s="38">
        <v>5.0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38">
        <v>585.0</v>
      </c>
      <c r="B587" s="39" t="s">
        <v>616</v>
      </c>
      <c r="C587" s="38">
        <v>-1.0</v>
      </c>
      <c r="D587" s="38">
        <v>3.0</v>
      </c>
      <c r="E587" s="38">
        <v>0.0</v>
      </c>
      <c r="F587" s="38">
        <v>0.0</v>
      </c>
      <c r="G587" s="38">
        <v>1.0</v>
      </c>
      <c r="H587" s="38">
        <v>2.0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38">
        <v>586.0</v>
      </c>
      <c r="B588" s="39" t="s">
        <v>617</v>
      </c>
      <c r="C588" s="38">
        <v>-2.0</v>
      </c>
      <c r="D588" s="38">
        <v>2.0</v>
      </c>
      <c r="E588" s="38">
        <v>0.0</v>
      </c>
      <c r="F588" s="38">
        <v>0.0</v>
      </c>
      <c r="G588" s="38">
        <v>0.0</v>
      </c>
      <c r="H588" s="38">
        <v>2.0</v>
      </c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38">
        <v>587.0</v>
      </c>
      <c r="B589" s="39" t="s">
        <v>618</v>
      </c>
      <c r="C589" s="38">
        <v>-2.0</v>
      </c>
      <c r="D589" s="38">
        <v>2.0</v>
      </c>
      <c r="E589" s="38">
        <v>0.0</v>
      </c>
      <c r="F589" s="38">
        <v>0.0</v>
      </c>
      <c r="G589" s="38">
        <v>0.0</v>
      </c>
      <c r="H589" s="38">
        <v>2.0</v>
      </c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38">
        <v>588.0</v>
      </c>
      <c r="B590" s="39" t="s">
        <v>619</v>
      </c>
      <c r="C590" s="38">
        <v>-2.0</v>
      </c>
      <c r="D590" s="38">
        <v>2.0</v>
      </c>
      <c r="E590" s="38">
        <v>0.0</v>
      </c>
      <c r="F590" s="38">
        <v>0.0</v>
      </c>
      <c r="G590" s="38">
        <v>0.0</v>
      </c>
      <c r="H590" s="38">
        <v>2.0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38">
        <v>589.0</v>
      </c>
      <c r="B591" s="39" t="s">
        <v>620</v>
      </c>
      <c r="C591" s="38">
        <v>-2.0</v>
      </c>
      <c r="D591" s="38">
        <v>6.0</v>
      </c>
      <c r="E591" s="38">
        <v>0.0</v>
      </c>
      <c r="F591" s="38">
        <v>0.0</v>
      </c>
      <c r="G591" s="38">
        <v>2.0</v>
      </c>
      <c r="H591" s="38">
        <v>4.0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38">
        <v>590.0</v>
      </c>
      <c r="B592" s="39" t="s">
        <v>621</v>
      </c>
      <c r="C592" s="38">
        <v>-2.0</v>
      </c>
      <c r="D592" s="38">
        <v>5.0</v>
      </c>
      <c r="E592" s="38">
        <v>0.0</v>
      </c>
      <c r="F592" s="38">
        <v>1.0</v>
      </c>
      <c r="G592" s="38">
        <v>0.0</v>
      </c>
      <c r="H592" s="38">
        <v>4.0</v>
      </c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38">
        <v>591.0</v>
      </c>
      <c r="B593" s="39" t="s">
        <v>622</v>
      </c>
      <c r="C593" s="38">
        <v>-2.0</v>
      </c>
      <c r="D593" s="38">
        <v>2.0</v>
      </c>
      <c r="E593" s="38">
        <v>0.0</v>
      </c>
      <c r="F593" s="38">
        <v>0.0</v>
      </c>
      <c r="G593" s="38">
        <v>0.0</v>
      </c>
      <c r="H593" s="38">
        <v>2.0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38">
        <v>592.0</v>
      </c>
      <c r="B594" s="39" t="s">
        <v>623</v>
      </c>
      <c r="C594" s="38">
        <v>-2.0</v>
      </c>
      <c r="D594" s="38">
        <v>2.0</v>
      </c>
      <c r="E594" s="38">
        <v>0.0</v>
      </c>
      <c r="F594" s="38">
        <v>0.0</v>
      </c>
      <c r="G594" s="38">
        <v>0.0</v>
      </c>
      <c r="H594" s="38">
        <v>2.0</v>
      </c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38">
        <v>593.0</v>
      </c>
      <c r="B595" s="39" t="s">
        <v>624</v>
      </c>
      <c r="C595" s="38">
        <v>-2.0</v>
      </c>
      <c r="D595" s="38">
        <v>2.0</v>
      </c>
      <c r="E595" s="38">
        <v>0.0</v>
      </c>
      <c r="F595" s="38">
        <v>0.0</v>
      </c>
      <c r="G595" s="38">
        <v>0.0</v>
      </c>
      <c r="H595" s="38">
        <v>2.0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38">
        <v>594.0</v>
      </c>
      <c r="B596" s="39" t="s">
        <v>625</v>
      </c>
      <c r="C596" s="38">
        <v>-2.0</v>
      </c>
      <c r="D596" s="38">
        <v>2.0</v>
      </c>
      <c r="E596" s="38">
        <v>0.0</v>
      </c>
      <c r="F596" s="38">
        <v>0.0</v>
      </c>
      <c r="G596" s="38">
        <v>0.0</v>
      </c>
      <c r="H596" s="38">
        <v>2.0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38">
        <v>595.0</v>
      </c>
      <c r="B597" s="39" t="s">
        <v>626</v>
      </c>
      <c r="C597" s="38">
        <v>-2.0</v>
      </c>
      <c r="D597" s="38">
        <v>2.0</v>
      </c>
      <c r="E597" s="38">
        <v>0.0</v>
      </c>
      <c r="F597" s="38">
        <v>0.0</v>
      </c>
      <c r="G597" s="38">
        <v>0.0</v>
      </c>
      <c r="H597" s="38">
        <v>2.0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38">
        <v>596.0</v>
      </c>
      <c r="B598" s="39" t="s">
        <v>627</v>
      </c>
      <c r="C598" s="38">
        <v>-2.0</v>
      </c>
      <c r="D598" s="38">
        <v>4.0</v>
      </c>
      <c r="E598" s="38">
        <v>0.0</v>
      </c>
      <c r="F598" s="38">
        <v>0.0</v>
      </c>
      <c r="G598" s="38">
        <v>1.0</v>
      </c>
      <c r="H598" s="38">
        <v>3.0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38">
        <v>597.0</v>
      </c>
      <c r="B599" s="39" t="s">
        <v>628</v>
      </c>
      <c r="C599" s="38">
        <v>-2.0</v>
      </c>
      <c r="D599" s="38">
        <v>2.0</v>
      </c>
      <c r="E599" s="38">
        <v>0.0</v>
      </c>
      <c r="F599" s="38">
        <v>0.0</v>
      </c>
      <c r="G599" s="38">
        <v>0.0</v>
      </c>
      <c r="H599" s="38">
        <v>2.0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38">
        <v>598.0</v>
      </c>
      <c r="B600" s="39" t="s">
        <v>629</v>
      </c>
      <c r="C600" s="38">
        <v>-2.0</v>
      </c>
      <c r="D600" s="38">
        <v>2.0</v>
      </c>
      <c r="E600" s="38">
        <v>0.0</v>
      </c>
      <c r="F600" s="38">
        <v>0.0</v>
      </c>
      <c r="G600" s="38">
        <v>0.0</v>
      </c>
      <c r="H600" s="38">
        <v>2.0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38">
        <v>599.0</v>
      </c>
      <c r="B601" s="39" t="s">
        <v>630</v>
      </c>
      <c r="C601" s="38">
        <v>-2.0</v>
      </c>
      <c r="D601" s="38">
        <v>2.0</v>
      </c>
      <c r="E601" s="38">
        <v>0.0</v>
      </c>
      <c r="F601" s="38">
        <v>0.0</v>
      </c>
      <c r="G601" s="38">
        <v>0.0</v>
      </c>
      <c r="H601" s="38">
        <v>2.0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38">
        <v>600.0</v>
      </c>
      <c r="B602" s="39" t="s">
        <v>631</v>
      </c>
      <c r="C602" s="38">
        <v>-2.0</v>
      </c>
      <c r="D602" s="38">
        <v>2.0</v>
      </c>
      <c r="E602" s="38">
        <v>0.0</v>
      </c>
      <c r="F602" s="38">
        <v>0.0</v>
      </c>
      <c r="G602" s="38">
        <v>0.0</v>
      </c>
      <c r="H602" s="38">
        <v>2.0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38">
        <v>601.0</v>
      </c>
      <c r="B603" s="39" t="s">
        <v>632</v>
      </c>
      <c r="C603" s="38">
        <v>-2.0</v>
      </c>
      <c r="D603" s="38">
        <v>2.0</v>
      </c>
      <c r="E603" s="38">
        <v>0.0</v>
      </c>
      <c r="F603" s="38">
        <v>0.0</v>
      </c>
      <c r="G603" s="38">
        <v>0.0</v>
      </c>
      <c r="H603" s="38">
        <v>2.0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38">
        <v>602.0</v>
      </c>
      <c r="B604" s="39" t="s">
        <v>633</v>
      </c>
      <c r="C604" s="38">
        <v>-2.0</v>
      </c>
      <c r="D604" s="38">
        <v>2.0</v>
      </c>
      <c r="E604" s="38">
        <v>0.0</v>
      </c>
      <c r="F604" s="38">
        <v>0.0</v>
      </c>
      <c r="G604" s="38">
        <v>0.0</v>
      </c>
      <c r="H604" s="38">
        <v>2.0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38">
        <v>603.0</v>
      </c>
      <c r="B605" s="39" t="s">
        <v>634</v>
      </c>
      <c r="C605" s="38">
        <v>-2.0</v>
      </c>
      <c r="D605" s="38">
        <v>2.0</v>
      </c>
      <c r="E605" s="38">
        <v>0.0</v>
      </c>
      <c r="F605" s="38">
        <v>0.0</v>
      </c>
      <c r="G605" s="38">
        <v>0.0</v>
      </c>
      <c r="H605" s="38">
        <v>2.0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38">
        <v>604.0</v>
      </c>
      <c r="B606" s="39" t="s">
        <v>635</v>
      </c>
      <c r="C606" s="38">
        <v>-2.0</v>
      </c>
      <c r="D606" s="38">
        <v>2.0</v>
      </c>
      <c r="E606" s="38">
        <v>0.0</v>
      </c>
      <c r="F606" s="38">
        <v>0.0</v>
      </c>
      <c r="G606" s="38">
        <v>0.0</v>
      </c>
      <c r="H606" s="38">
        <v>2.0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38">
        <v>605.0</v>
      </c>
      <c r="B607" s="39" t="s">
        <v>636</v>
      </c>
      <c r="C607" s="38">
        <v>-2.0</v>
      </c>
      <c r="D607" s="38">
        <v>2.0</v>
      </c>
      <c r="E607" s="38">
        <v>0.0</v>
      </c>
      <c r="F607" s="38">
        <v>0.0</v>
      </c>
      <c r="G607" s="38">
        <v>0.0</v>
      </c>
      <c r="H607" s="38">
        <v>2.0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38">
        <v>606.0</v>
      </c>
      <c r="B608" s="39" t="s">
        <v>637</v>
      </c>
      <c r="C608" s="38">
        <v>-2.0</v>
      </c>
      <c r="D608" s="38">
        <v>2.0</v>
      </c>
      <c r="E608" s="38">
        <v>0.0</v>
      </c>
      <c r="F608" s="38">
        <v>0.0</v>
      </c>
      <c r="G608" s="38">
        <v>0.0</v>
      </c>
      <c r="H608" s="38">
        <v>2.0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38">
        <v>607.0</v>
      </c>
      <c r="B609" s="39" t="s">
        <v>638</v>
      </c>
      <c r="C609" s="38">
        <v>-2.0</v>
      </c>
      <c r="D609" s="38">
        <v>2.0</v>
      </c>
      <c r="E609" s="38">
        <v>0.0</v>
      </c>
      <c r="F609" s="38">
        <v>0.0</v>
      </c>
      <c r="G609" s="38">
        <v>0.0</v>
      </c>
      <c r="H609" s="38">
        <v>2.0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38">
        <v>608.0</v>
      </c>
      <c r="B610" s="39" t="s">
        <v>639</v>
      </c>
      <c r="C610" s="38">
        <v>-2.0</v>
      </c>
      <c r="D610" s="38">
        <v>5.0</v>
      </c>
      <c r="E610" s="38">
        <v>0.0</v>
      </c>
      <c r="F610" s="38">
        <v>1.0</v>
      </c>
      <c r="G610" s="38">
        <v>0.0</v>
      </c>
      <c r="H610" s="38">
        <v>4.0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38">
        <v>609.0</v>
      </c>
      <c r="B611" s="39" t="s">
        <v>640</v>
      </c>
      <c r="C611" s="38">
        <v>-2.0</v>
      </c>
      <c r="D611" s="38">
        <v>2.0</v>
      </c>
      <c r="E611" s="38">
        <v>0.0</v>
      </c>
      <c r="F611" s="38">
        <v>0.0</v>
      </c>
      <c r="G611" s="38">
        <v>0.0</v>
      </c>
      <c r="H611" s="38">
        <v>2.0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38">
        <v>610.0</v>
      </c>
      <c r="B612" s="39" t="s">
        <v>641</v>
      </c>
      <c r="C612" s="38">
        <v>-2.0</v>
      </c>
      <c r="D612" s="38">
        <v>2.0</v>
      </c>
      <c r="E612" s="38">
        <v>0.0</v>
      </c>
      <c r="F612" s="38">
        <v>0.0</v>
      </c>
      <c r="G612" s="38">
        <v>0.0</v>
      </c>
      <c r="H612" s="38">
        <v>2.0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38">
        <v>611.0</v>
      </c>
      <c r="B613" s="39" t="s">
        <v>642</v>
      </c>
      <c r="C613" s="38">
        <v>-2.0</v>
      </c>
      <c r="D613" s="38">
        <v>2.0</v>
      </c>
      <c r="E613" s="38">
        <v>0.0</v>
      </c>
      <c r="F613" s="38">
        <v>0.0</v>
      </c>
      <c r="G613" s="38">
        <v>0.0</v>
      </c>
      <c r="H613" s="38">
        <v>2.0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38">
        <v>612.0</v>
      </c>
      <c r="B614" s="39" t="s">
        <v>643</v>
      </c>
      <c r="C614" s="38">
        <v>-2.0</v>
      </c>
      <c r="D614" s="38">
        <v>2.0</v>
      </c>
      <c r="E614" s="38">
        <v>0.0</v>
      </c>
      <c r="F614" s="38">
        <v>0.0</v>
      </c>
      <c r="G614" s="38">
        <v>0.0</v>
      </c>
      <c r="H614" s="38">
        <v>2.0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38">
        <v>613.0</v>
      </c>
      <c r="B615" s="39" t="s">
        <v>644</v>
      </c>
      <c r="C615" s="38">
        <v>-2.0</v>
      </c>
      <c r="D615" s="38">
        <v>2.0</v>
      </c>
      <c r="E615" s="38">
        <v>0.0</v>
      </c>
      <c r="F615" s="38">
        <v>0.0</v>
      </c>
      <c r="G615" s="38">
        <v>0.0</v>
      </c>
      <c r="H615" s="38">
        <v>2.0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38">
        <v>614.0</v>
      </c>
      <c r="B616" s="39" t="s">
        <v>645</v>
      </c>
      <c r="C616" s="38">
        <v>-2.0</v>
      </c>
      <c r="D616" s="38">
        <v>2.0</v>
      </c>
      <c r="E616" s="38">
        <v>0.0</v>
      </c>
      <c r="F616" s="38">
        <v>0.0</v>
      </c>
      <c r="G616" s="38">
        <v>0.0</v>
      </c>
      <c r="H616" s="38">
        <v>2.0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38">
        <v>615.0</v>
      </c>
      <c r="B617" s="39" t="s">
        <v>646</v>
      </c>
      <c r="C617" s="38">
        <v>-2.0</v>
      </c>
      <c r="D617" s="38">
        <v>2.0</v>
      </c>
      <c r="E617" s="38">
        <v>0.0</v>
      </c>
      <c r="F617" s="38">
        <v>0.0</v>
      </c>
      <c r="G617" s="38">
        <v>0.0</v>
      </c>
      <c r="H617" s="38">
        <v>2.0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38">
        <v>616.0</v>
      </c>
      <c r="B618" s="39" t="s">
        <v>647</v>
      </c>
      <c r="C618" s="38">
        <v>-2.0</v>
      </c>
      <c r="D618" s="38">
        <v>2.0</v>
      </c>
      <c r="E618" s="38">
        <v>0.0</v>
      </c>
      <c r="F618" s="38">
        <v>0.0</v>
      </c>
      <c r="G618" s="38">
        <v>0.0</v>
      </c>
      <c r="H618" s="38">
        <v>2.0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38">
        <v>617.0</v>
      </c>
      <c r="B619" s="39" t="s">
        <v>648</v>
      </c>
      <c r="C619" s="38">
        <v>-2.0</v>
      </c>
      <c r="D619" s="38">
        <v>2.0</v>
      </c>
      <c r="E619" s="38">
        <v>0.0</v>
      </c>
      <c r="F619" s="38">
        <v>0.0</v>
      </c>
      <c r="G619" s="38">
        <v>0.0</v>
      </c>
      <c r="H619" s="38">
        <v>2.0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38">
        <v>618.0</v>
      </c>
      <c r="B620" s="39" t="s">
        <v>649</v>
      </c>
      <c r="C620" s="38">
        <v>-2.0</v>
      </c>
      <c r="D620" s="38">
        <v>5.0</v>
      </c>
      <c r="E620" s="38">
        <v>0.0</v>
      </c>
      <c r="F620" s="38">
        <v>1.0</v>
      </c>
      <c r="G620" s="38">
        <v>0.0</v>
      </c>
      <c r="H620" s="38">
        <v>4.0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38">
        <v>619.0</v>
      </c>
      <c r="B621" s="39" t="s">
        <v>650</v>
      </c>
      <c r="C621" s="38">
        <v>-2.0</v>
      </c>
      <c r="D621" s="38">
        <v>2.0</v>
      </c>
      <c r="E621" s="38">
        <v>0.0</v>
      </c>
      <c r="F621" s="38">
        <v>0.0</v>
      </c>
      <c r="G621" s="38">
        <v>0.0</v>
      </c>
      <c r="H621" s="38">
        <v>2.0</v>
      </c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38">
        <v>620.0</v>
      </c>
      <c r="B622" s="39" t="s">
        <v>651</v>
      </c>
      <c r="C622" s="38">
        <v>-2.0</v>
      </c>
      <c r="D622" s="38">
        <v>2.0</v>
      </c>
      <c r="E622" s="38">
        <v>0.0</v>
      </c>
      <c r="F622" s="38">
        <v>0.0</v>
      </c>
      <c r="G622" s="38">
        <v>0.0</v>
      </c>
      <c r="H622" s="38">
        <v>2.0</v>
      </c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38">
        <v>621.0</v>
      </c>
      <c r="B623" s="39" t="s">
        <v>652</v>
      </c>
      <c r="C623" s="38">
        <v>-2.0</v>
      </c>
      <c r="D623" s="38">
        <v>2.0</v>
      </c>
      <c r="E623" s="38">
        <v>0.0</v>
      </c>
      <c r="F623" s="38">
        <v>0.0</v>
      </c>
      <c r="G623" s="38">
        <v>0.0</v>
      </c>
      <c r="H623" s="38">
        <v>2.0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38">
        <v>622.0</v>
      </c>
      <c r="B624" s="39" t="s">
        <v>653</v>
      </c>
      <c r="C624" s="38">
        <v>-2.0</v>
      </c>
      <c r="D624" s="38">
        <v>7.0</v>
      </c>
      <c r="E624" s="38">
        <v>0.0</v>
      </c>
      <c r="F624" s="38">
        <v>1.0</v>
      </c>
      <c r="G624" s="38">
        <v>1.0</v>
      </c>
      <c r="H624" s="38">
        <v>5.0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38">
        <v>623.0</v>
      </c>
      <c r="B625" s="39" t="s">
        <v>654</v>
      </c>
      <c r="C625" s="38">
        <v>-2.0</v>
      </c>
      <c r="D625" s="38">
        <v>2.0</v>
      </c>
      <c r="E625" s="38">
        <v>0.0</v>
      </c>
      <c r="F625" s="38">
        <v>0.0</v>
      </c>
      <c r="G625" s="38">
        <v>0.0</v>
      </c>
      <c r="H625" s="38">
        <v>2.0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38">
        <v>624.0</v>
      </c>
      <c r="B626" s="39" t="s">
        <v>655</v>
      </c>
      <c r="C626" s="38">
        <v>-2.0</v>
      </c>
      <c r="D626" s="38">
        <v>2.0</v>
      </c>
      <c r="E626" s="38">
        <v>0.0</v>
      </c>
      <c r="F626" s="38">
        <v>0.0</v>
      </c>
      <c r="G626" s="38">
        <v>0.0</v>
      </c>
      <c r="H626" s="38">
        <v>2.0</v>
      </c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38">
        <v>625.0</v>
      </c>
      <c r="B627" s="39" t="s">
        <v>656</v>
      </c>
      <c r="C627" s="38">
        <v>-2.0</v>
      </c>
      <c r="D627" s="38">
        <v>5.0</v>
      </c>
      <c r="E627" s="38">
        <v>0.0</v>
      </c>
      <c r="F627" s="38">
        <v>1.0</v>
      </c>
      <c r="G627" s="38">
        <v>0.0</v>
      </c>
      <c r="H627" s="38">
        <v>4.0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38">
        <v>626.0</v>
      </c>
      <c r="B628" s="39" t="s">
        <v>657</v>
      </c>
      <c r="C628" s="38">
        <v>-2.0</v>
      </c>
      <c r="D628" s="38">
        <v>2.0</v>
      </c>
      <c r="E628" s="38">
        <v>0.0</v>
      </c>
      <c r="F628" s="38">
        <v>0.0</v>
      </c>
      <c r="G628" s="38">
        <v>0.0</v>
      </c>
      <c r="H628" s="38">
        <v>2.0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38">
        <v>627.0</v>
      </c>
      <c r="B629" s="39" t="s">
        <v>658</v>
      </c>
      <c r="C629" s="38">
        <v>-2.0</v>
      </c>
      <c r="D629" s="38">
        <v>2.0</v>
      </c>
      <c r="E629" s="38">
        <v>0.0</v>
      </c>
      <c r="F629" s="38">
        <v>0.0</v>
      </c>
      <c r="G629" s="38">
        <v>0.0</v>
      </c>
      <c r="H629" s="38">
        <v>2.0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38">
        <v>628.0</v>
      </c>
      <c r="B630" s="39" t="s">
        <v>659</v>
      </c>
      <c r="C630" s="38">
        <v>-2.0</v>
      </c>
      <c r="D630" s="38">
        <v>41.0</v>
      </c>
      <c r="E630" s="38">
        <v>0.0</v>
      </c>
      <c r="F630" s="38">
        <v>11.0</v>
      </c>
      <c r="G630" s="38">
        <v>3.0</v>
      </c>
      <c r="H630" s="38">
        <v>27.0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38">
        <v>629.0</v>
      </c>
      <c r="B631" s="39" t="s">
        <v>660</v>
      </c>
      <c r="C631" s="38">
        <v>-2.0</v>
      </c>
      <c r="D631" s="38">
        <v>2.0</v>
      </c>
      <c r="E631" s="38">
        <v>0.0</v>
      </c>
      <c r="F631" s="38">
        <v>0.0</v>
      </c>
      <c r="G631" s="38">
        <v>0.0</v>
      </c>
      <c r="H631" s="38">
        <v>2.0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38">
        <v>630.0</v>
      </c>
      <c r="B632" s="39" t="s">
        <v>661</v>
      </c>
      <c r="C632" s="38">
        <v>-2.0</v>
      </c>
      <c r="D632" s="38">
        <v>2.0</v>
      </c>
      <c r="E632" s="38">
        <v>0.0</v>
      </c>
      <c r="F632" s="38">
        <v>0.0</v>
      </c>
      <c r="G632" s="38">
        <v>0.0</v>
      </c>
      <c r="H632" s="38">
        <v>2.0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38">
        <v>631.0</v>
      </c>
      <c r="B633" s="39" t="s">
        <v>662</v>
      </c>
      <c r="C633" s="38">
        <v>-2.0</v>
      </c>
      <c r="D633" s="38">
        <v>113.0</v>
      </c>
      <c r="E633" s="38">
        <v>0.0</v>
      </c>
      <c r="F633" s="38">
        <v>27.0</v>
      </c>
      <c r="G633" s="38">
        <v>15.0</v>
      </c>
      <c r="H633" s="38">
        <v>71.0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38">
        <v>632.0</v>
      </c>
      <c r="B634" s="39" t="s">
        <v>663</v>
      </c>
      <c r="C634" s="38">
        <v>-2.0</v>
      </c>
      <c r="D634" s="38">
        <v>4.0</v>
      </c>
      <c r="E634" s="38">
        <v>0.0</v>
      </c>
      <c r="F634" s="38">
        <v>0.0</v>
      </c>
      <c r="G634" s="38">
        <v>1.0</v>
      </c>
      <c r="H634" s="38">
        <v>3.0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38">
        <v>633.0</v>
      </c>
      <c r="B635" s="39" t="s">
        <v>664</v>
      </c>
      <c r="C635" s="38">
        <v>-2.0</v>
      </c>
      <c r="D635" s="38">
        <v>2.0</v>
      </c>
      <c r="E635" s="38">
        <v>0.0</v>
      </c>
      <c r="F635" s="38">
        <v>0.0</v>
      </c>
      <c r="G635" s="38">
        <v>0.0</v>
      </c>
      <c r="H635" s="38">
        <v>2.0</v>
      </c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38">
        <v>634.0</v>
      </c>
      <c r="B636" s="39" t="s">
        <v>665</v>
      </c>
      <c r="C636" s="38">
        <v>-2.0</v>
      </c>
      <c r="D636" s="38">
        <v>2.0</v>
      </c>
      <c r="E636" s="38">
        <v>0.0</v>
      </c>
      <c r="F636" s="38">
        <v>0.0</v>
      </c>
      <c r="G636" s="38">
        <v>0.0</v>
      </c>
      <c r="H636" s="38">
        <v>2.0</v>
      </c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38">
        <v>635.0</v>
      </c>
      <c r="B637" s="39" t="s">
        <v>666</v>
      </c>
      <c r="C637" s="38">
        <v>-2.0</v>
      </c>
      <c r="D637" s="38">
        <v>4.0</v>
      </c>
      <c r="E637" s="38">
        <v>0.0</v>
      </c>
      <c r="F637" s="38">
        <v>0.0</v>
      </c>
      <c r="G637" s="38">
        <v>1.0</v>
      </c>
      <c r="H637" s="38">
        <v>3.0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38">
        <v>636.0</v>
      </c>
      <c r="B638" s="39" t="s">
        <v>667</v>
      </c>
      <c r="C638" s="38">
        <v>-2.0</v>
      </c>
      <c r="D638" s="38">
        <v>2.0</v>
      </c>
      <c r="E638" s="38">
        <v>0.0</v>
      </c>
      <c r="F638" s="38">
        <v>0.0</v>
      </c>
      <c r="G638" s="38">
        <v>0.0</v>
      </c>
      <c r="H638" s="38">
        <v>2.0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38">
        <v>637.0</v>
      </c>
      <c r="B639" s="39" t="s">
        <v>668</v>
      </c>
      <c r="C639" s="38">
        <v>-2.0</v>
      </c>
      <c r="D639" s="38">
        <v>2.0</v>
      </c>
      <c r="E639" s="38">
        <v>0.0</v>
      </c>
      <c r="F639" s="38">
        <v>0.0</v>
      </c>
      <c r="G639" s="38">
        <v>0.0</v>
      </c>
      <c r="H639" s="38">
        <v>2.0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38">
        <v>638.0</v>
      </c>
      <c r="B640" s="39" t="s">
        <v>669</v>
      </c>
      <c r="C640" s="38">
        <v>-2.0</v>
      </c>
      <c r="D640" s="38">
        <v>2.0</v>
      </c>
      <c r="E640" s="38">
        <v>0.0</v>
      </c>
      <c r="F640" s="38">
        <v>0.0</v>
      </c>
      <c r="G640" s="38">
        <v>0.0</v>
      </c>
      <c r="H640" s="38">
        <v>2.0</v>
      </c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38">
        <v>639.0</v>
      </c>
      <c r="B641" s="39" t="s">
        <v>670</v>
      </c>
      <c r="C641" s="38">
        <v>-2.0</v>
      </c>
      <c r="D641" s="38">
        <v>2.0</v>
      </c>
      <c r="E641" s="38">
        <v>0.0</v>
      </c>
      <c r="F641" s="38">
        <v>0.0</v>
      </c>
      <c r="G641" s="38">
        <v>0.0</v>
      </c>
      <c r="H641" s="38">
        <v>2.0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38">
        <v>640.0</v>
      </c>
      <c r="B642" s="39" t="s">
        <v>671</v>
      </c>
      <c r="C642" s="38">
        <v>-2.0</v>
      </c>
      <c r="D642" s="38">
        <v>2.0</v>
      </c>
      <c r="E642" s="38">
        <v>0.0</v>
      </c>
      <c r="F642" s="38">
        <v>0.0</v>
      </c>
      <c r="G642" s="38">
        <v>0.0</v>
      </c>
      <c r="H642" s="38">
        <v>2.0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38">
        <v>641.0</v>
      </c>
      <c r="B643" s="39" t="s">
        <v>672</v>
      </c>
      <c r="C643" s="38">
        <v>-2.0</v>
      </c>
      <c r="D643" s="38">
        <v>2.0</v>
      </c>
      <c r="E643" s="38">
        <v>0.0</v>
      </c>
      <c r="F643" s="38">
        <v>0.0</v>
      </c>
      <c r="G643" s="38">
        <v>0.0</v>
      </c>
      <c r="H643" s="38">
        <v>2.0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38">
        <v>642.0</v>
      </c>
      <c r="B644" s="39" t="s">
        <v>673</v>
      </c>
      <c r="C644" s="38">
        <v>-2.0</v>
      </c>
      <c r="D644" s="38">
        <v>2.0</v>
      </c>
      <c r="E644" s="38">
        <v>0.0</v>
      </c>
      <c r="F644" s="38">
        <v>0.0</v>
      </c>
      <c r="G644" s="38">
        <v>0.0</v>
      </c>
      <c r="H644" s="38">
        <v>2.0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38">
        <v>643.0</v>
      </c>
      <c r="B645" s="39" t="s">
        <v>674</v>
      </c>
      <c r="C645" s="38">
        <v>-2.0</v>
      </c>
      <c r="D645" s="38">
        <v>2.0</v>
      </c>
      <c r="E645" s="38">
        <v>0.0</v>
      </c>
      <c r="F645" s="38">
        <v>0.0</v>
      </c>
      <c r="G645" s="38">
        <v>0.0</v>
      </c>
      <c r="H645" s="38">
        <v>2.0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38">
        <v>644.0</v>
      </c>
      <c r="B646" s="39" t="s">
        <v>675</v>
      </c>
      <c r="C646" s="38">
        <v>-2.0</v>
      </c>
      <c r="D646" s="38">
        <v>2.0</v>
      </c>
      <c r="E646" s="38">
        <v>0.0</v>
      </c>
      <c r="F646" s="38">
        <v>0.0</v>
      </c>
      <c r="G646" s="38">
        <v>0.0</v>
      </c>
      <c r="H646" s="38">
        <v>2.0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38">
        <v>645.0</v>
      </c>
      <c r="B647" s="39" t="s">
        <v>676</v>
      </c>
      <c r="C647" s="38">
        <v>-2.0</v>
      </c>
      <c r="D647" s="38">
        <v>5.0</v>
      </c>
      <c r="E647" s="38">
        <v>0.0</v>
      </c>
      <c r="F647" s="38">
        <v>1.0</v>
      </c>
      <c r="G647" s="38">
        <v>0.0</v>
      </c>
      <c r="H647" s="38">
        <v>4.0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38">
        <v>646.0</v>
      </c>
      <c r="B648" s="39" t="s">
        <v>677</v>
      </c>
      <c r="C648" s="38">
        <v>-2.0</v>
      </c>
      <c r="D648" s="38">
        <v>2.0</v>
      </c>
      <c r="E648" s="38">
        <v>0.0</v>
      </c>
      <c r="F648" s="38">
        <v>0.0</v>
      </c>
      <c r="G648" s="38">
        <v>0.0</v>
      </c>
      <c r="H648" s="38">
        <v>2.0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38">
        <v>647.0</v>
      </c>
      <c r="B649" s="39" t="s">
        <v>678</v>
      </c>
      <c r="C649" s="38">
        <v>-2.0</v>
      </c>
      <c r="D649" s="38">
        <v>2.0</v>
      </c>
      <c r="E649" s="38">
        <v>0.0</v>
      </c>
      <c r="F649" s="38">
        <v>0.0</v>
      </c>
      <c r="G649" s="38">
        <v>0.0</v>
      </c>
      <c r="H649" s="38">
        <v>2.0</v>
      </c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38">
        <v>648.0</v>
      </c>
      <c r="B650" s="39" t="s">
        <v>679</v>
      </c>
      <c r="C650" s="38">
        <v>-2.0</v>
      </c>
      <c r="D650" s="38">
        <v>2.0</v>
      </c>
      <c r="E650" s="38">
        <v>0.0</v>
      </c>
      <c r="F650" s="38">
        <v>0.0</v>
      </c>
      <c r="G650" s="38">
        <v>0.0</v>
      </c>
      <c r="H650" s="38">
        <v>2.0</v>
      </c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38">
        <v>649.0</v>
      </c>
      <c r="B651" s="39" t="s">
        <v>680</v>
      </c>
      <c r="C651" s="38">
        <v>-2.0</v>
      </c>
      <c r="D651" s="38">
        <v>2.0</v>
      </c>
      <c r="E651" s="38">
        <v>0.0</v>
      </c>
      <c r="F651" s="38">
        <v>0.0</v>
      </c>
      <c r="G651" s="38">
        <v>0.0</v>
      </c>
      <c r="H651" s="38">
        <v>2.0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38">
        <v>650.0</v>
      </c>
      <c r="B652" s="39" t="s">
        <v>681</v>
      </c>
      <c r="C652" s="38">
        <v>-2.0</v>
      </c>
      <c r="D652" s="38">
        <v>2.0</v>
      </c>
      <c r="E652" s="38">
        <v>0.0</v>
      </c>
      <c r="F652" s="38">
        <v>0.0</v>
      </c>
      <c r="G652" s="38">
        <v>0.0</v>
      </c>
      <c r="H652" s="38">
        <v>2.0</v>
      </c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38">
        <v>651.0</v>
      </c>
      <c r="B653" s="39" t="s">
        <v>682</v>
      </c>
      <c r="C653" s="38">
        <v>-2.0</v>
      </c>
      <c r="D653" s="38">
        <v>7.0</v>
      </c>
      <c r="E653" s="38">
        <v>0.0</v>
      </c>
      <c r="F653" s="38">
        <v>1.0</v>
      </c>
      <c r="G653" s="38">
        <v>1.0</v>
      </c>
      <c r="H653" s="38">
        <v>5.0</v>
      </c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38">
        <v>652.0</v>
      </c>
      <c r="B654" s="39" t="s">
        <v>683</v>
      </c>
      <c r="C654" s="38">
        <v>-2.0</v>
      </c>
      <c r="D654" s="38">
        <v>2.0</v>
      </c>
      <c r="E654" s="38">
        <v>0.0</v>
      </c>
      <c r="F654" s="38">
        <v>0.0</v>
      </c>
      <c r="G654" s="38">
        <v>0.0</v>
      </c>
      <c r="H654" s="38">
        <v>2.0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38">
        <v>653.0</v>
      </c>
      <c r="B655" s="39" t="s">
        <v>684</v>
      </c>
      <c r="C655" s="38">
        <v>-2.0</v>
      </c>
      <c r="D655" s="38">
        <v>2.0</v>
      </c>
      <c r="E655" s="38">
        <v>0.0</v>
      </c>
      <c r="F655" s="38">
        <v>0.0</v>
      </c>
      <c r="G655" s="38">
        <v>0.0</v>
      </c>
      <c r="H655" s="38">
        <v>2.0</v>
      </c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38">
        <v>654.0</v>
      </c>
      <c r="B656" s="39" t="s">
        <v>685</v>
      </c>
      <c r="C656" s="38">
        <v>-2.0</v>
      </c>
      <c r="D656" s="38">
        <v>2.0</v>
      </c>
      <c r="E656" s="38">
        <v>0.0</v>
      </c>
      <c r="F656" s="38">
        <v>0.0</v>
      </c>
      <c r="G656" s="38">
        <v>0.0</v>
      </c>
      <c r="H656" s="38">
        <v>2.0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38">
        <v>655.0</v>
      </c>
      <c r="B657" s="39" t="s">
        <v>686</v>
      </c>
      <c r="C657" s="38">
        <v>-2.0</v>
      </c>
      <c r="D657" s="38">
        <v>2.0</v>
      </c>
      <c r="E657" s="38">
        <v>0.0</v>
      </c>
      <c r="F657" s="38">
        <v>0.0</v>
      </c>
      <c r="G657" s="38">
        <v>0.0</v>
      </c>
      <c r="H657" s="38">
        <v>2.0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38">
        <v>656.0</v>
      </c>
      <c r="B658" s="39" t="s">
        <v>687</v>
      </c>
      <c r="C658" s="38">
        <v>-2.0</v>
      </c>
      <c r="D658" s="38">
        <v>2.0</v>
      </c>
      <c r="E658" s="38">
        <v>0.0</v>
      </c>
      <c r="F658" s="38">
        <v>0.0</v>
      </c>
      <c r="G658" s="38">
        <v>0.0</v>
      </c>
      <c r="H658" s="38">
        <v>2.0</v>
      </c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38">
        <v>657.0</v>
      </c>
      <c r="B659" s="39" t="s">
        <v>688</v>
      </c>
      <c r="C659" s="38">
        <v>-2.0</v>
      </c>
      <c r="D659" s="38">
        <v>2.0</v>
      </c>
      <c r="E659" s="38">
        <v>0.0</v>
      </c>
      <c r="F659" s="38">
        <v>0.0</v>
      </c>
      <c r="G659" s="38">
        <v>0.0</v>
      </c>
      <c r="H659" s="38">
        <v>2.0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38">
        <v>658.0</v>
      </c>
      <c r="B660" s="39" t="s">
        <v>689</v>
      </c>
      <c r="C660" s="38">
        <v>-2.0</v>
      </c>
      <c r="D660" s="38">
        <v>2.0</v>
      </c>
      <c r="E660" s="38">
        <v>0.0</v>
      </c>
      <c r="F660" s="38">
        <v>0.0</v>
      </c>
      <c r="G660" s="38">
        <v>0.0</v>
      </c>
      <c r="H660" s="38">
        <v>2.0</v>
      </c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38">
        <v>659.0</v>
      </c>
      <c r="B661" s="39" t="s">
        <v>690</v>
      </c>
      <c r="C661" s="38">
        <v>-2.0</v>
      </c>
      <c r="D661" s="38">
        <v>2.0</v>
      </c>
      <c r="E661" s="38">
        <v>0.0</v>
      </c>
      <c r="F661" s="38">
        <v>0.0</v>
      </c>
      <c r="G661" s="38">
        <v>0.0</v>
      </c>
      <c r="H661" s="38">
        <v>2.0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38">
        <v>660.0</v>
      </c>
      <c r="B662" s="39" t="s">
        <v>691</v>
      </c>
      <c r="C662" s="38">
        <v>-2.0</v>
      </c>
      <c r="D662" s="38">
        <v>2.0</v>
      </c>
      <c r="E662" s="38">
        <v>0.0</v>
      </c>
      <c r="F662" s="38">
        <v>0.0</v>
      </c>
      <c r="G662" s="38">
        <v>0.0</v>
      </c>
      <c r="H662" s="38">
        <v>2.0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38">
        <v>661.0</v>
      </c>
      <c r="B663" s="39" t="s">
        <v>692</v>
      </c>
      <c r="C663" s="38">
        <v>-2.0</v>
      </c>
      <c r="D663" s="38">
        <v>2.0</v>
      </c>
      <c r="E663" s="38">
        <v>0.0</v>
      </c>
      <c r="F663" s="38">
        <v>0.0</v>
      </c>
      <c r="G663" s="38">
        <v>0.0</v>
      </c>
      <c r="H663" s="38">
        <v>2.0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38">
        <v>662.0</v>
      </c>
      <c r="B664" s="39" t="s">
        <v>693</v>
      </c>
      <c r="C664" s="38">
        <v>-2.0</v>
      </c>
      <c r="D664" s="38">
        <v>2.0</v>
      </c>
      <c r="E664" s="38">
        <v>0.0</v>
      </c>
      <c r="F664" s="38">
        <v>0.0</v>
      </c>
      <c r="G664" s="38">
        <v>0.0</v>
      </c>
      <c r="H664" s="38">
        <v>2.0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38">
        <v>663.0</v>
      </c>
      <c r="B665" s="39" t="s">
        <v>694</v>
      </c>
      <c r="C665" s="38">
        <v>-2.0</v>
      </c>
      <c r="D665" s="38">
        <v>2.0</v>
      </c>
      <c r="E665" s="38">
        <v>0.0</v>
      </c>
      <c r="F665" s="38">
        <v>0.0</v>
      </c>
      <c r="G665" s="38">
        <v>0.0</v>
      </c>
      <c r="H665" s="38">
        <v>2.0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38">
        <v>664.0</v>
      </c>
      <c r="B666" s="39" t="s">
        <v>695</v>
      </c>
      <c r="C666" s="38">
        <v>-2.0</v>
      </c>
      <c r="D666" s="38">
        <v>2.0</v>
      </c>
      <c r="E666" s="38">
        <v>0.0</v>
      </c>
      <c r="F666" s="38">
        <v>0.0</v>
      </c>
      <c r="G666" s="38">
        <v>0.0</v>
      </c>
      <c r="H666" s="38">
        <v>2.0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38">
        <v>665.0</v>
      </c>
      <c r="B667" s="39" t="s">
        <v>696</v>
      </c>
      <c r="C667" s="38">
        <v>-2.0</v>
      </c>
      <c r="D667" s="38">
        <v>2.0</v>
      </c>
      <c r="E667" s="38">
        <v>0.0</v>
      </c>
      <c r="F667" s="38">
        <v>0.0</v>
      </c>
      <c r="G667" s="38">
        <v>0.0</v>
      </c>
      <c r="H667" s="38">
        <v>2.0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38">
        <v>666.0</v>
      </c>
      <c r="B668" s="39" t="s">
        <v>697</v>
      </c>
      <c r="C668" s="38">
        <v>-2.0</v>
      </c>
      <c r="D668" s="38">
        <v>2.0</v>
      </c>
      <c r="E668" s="38">
        <v>0.0</v>
      </c>
      <c r="F668" s="38">
        <v>0.0</v>
      </c>
      <c r="G668" s="38">
        <v>0.0</v>
      </c>
      <c r="H668" s="38">
        <v>2.0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38">
        <v>667.0</v>
      </c>
      <c r="B669" s="39" t="s">
        <v>698</v>
      </c>
      <c r="C669" s="38">
        <v>-2.0</v>
      </c>
      <c r="D669" s="38">
        <v>2.0</v>
      </c>
      <c r="E669" s="38">
        <v>0.0</v>
      </c>
      <c r="F669" s="38">
        <v>0.0</v>
      </c>
      <c r="G669" s="38">
        <v>0.0</v>
      </c>
      <c r="H669" s="38">
        <v>2.0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38">
        <v>668.0</v>
      </c>
      <c r="B670" s="39" t="s">
        <v>699</v>
      </c>
      <c r="C670" s="38">
        <v>-2.0</v>
      </c>
      <c r="D670" s="38">
        <v>2.0</v>
      </c>
      <c r="E670" s="38">
        <v>0.0</v>
      </c>
      <c r="F670" s="38">
        <v>0.0</v>
      </c>
      <c r="G670" s="38">
        <v>0.0</v>
      </c>
      <c r="H670" s="38">
        <v>2.0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38">
        <v>669.0</v>
      </c>
      <c r="B671" s="39" t="s">
        <v>700</v>
      </c>
      <c r="C671" s="38">
        <v>-2.0</v>
      </c>
      <c r="D671" s="38">
        <v>2.0</v>
      </c>
      <c r="E671" s="38">
        <v>0.0</v>
      </c>
      <c r="F671" s="38">
        <v>0.0</v>
      </c>
      <c r="G671" s="38">
        <v>0.0</v>
      </c>
      <c r="H671" s="38">
        <v>2.0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38">
        <v>670.0</v>
      </c>
      <c r="B672" s="39" t="s">
        <v>701</v>
      </c>
      <c r="C672" s="38">
        <v>-2.0</v>
      </c>
      <c r="D672" s="38">
        <v>2.0</v>
      </c>
      <c r="E672" s="38">
        <v>0.0</v>
      </c>
      <c r="F672" s="38">
        <v>0.0</v>
      </c>
      <c r="G672" s="38">
        <v>0.0</v>
      </c>
      <c r="H672" s="38">
        <v>2.0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38">
        <v>671.0</v>
      </c>
      <c r="B673" s="39" t="s">
        <v>702</v>
      </c>
      <c r="C673" s="38">
        <v>-2.0</v>
      </c>
      <c r="D673" s="38">
        <v>4.0</v>
      </c>
      <c r="E673" s="38">
        <v>0.0</v>
      </c>
      <c r="F673" s="38">
        <v>0.0</v>
      </c>
      <c r="G673" s="38">
        <v>1.0</v>
      </c>
      <c r="H673" s="38">
        <v>3.0</v>
      </c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38">
        <v>672.0</v>
      </c>
      <c r="B674" s="39" t="s">
        <v>703</v>
      </c>
      <c r="C674" s="38">
        <v>-2.0</v>
      </c>
      <c r="D674" s="38">
        <v>2.0</v>
      </c>
      <c r="E674" s="38">
        <v>0.0</v>
      </c>
      <c r="F674" s="38">
        <v>0.0</v>
      </c>
      <c r="G674" s="38">
        <v>0.0</v>
      </c>
      <c r="H674" s="38">
        <v>2.0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38">
        <v>673.0</v>
      </c>
      <c r="B675" s="39" t="s">
        <v>704</v>
      </c>
      <c r="C675" s="38">
        <v>-2.0</v>
      </c>
      <c r="D675" s="38">
        <v>2.0</v>
      </c>
      <c r="E675" s="38">
        <v>0.0</v>
      </c>
      <c r="F675" s="38">
        <v>0.0</v>
      </c>
      <c r="G675" s="38">
        <v>0.0</v>
      </c>
      <c r="H675" s="38">
        <v>2.0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38">
        <v>674.0</v>
      </c>
      <c r="B676" s="39" t="s">
        <v>705</v>
      </c>
      <c r="C676" s="38">
        <v>-2.0</v>
      </c>
      <c r="D676" s="38">
        <v>2.0</v>
      </c>
      <c r="E676" s="38">
        <v>0.0</v>
      </c>
      <c r="F676" s="38">
        <v>0.0</v>
      </c>
      <c r="G676" s="38">
        <v>0.0</v>
      </c>
      <c r="H676" s="38">
        <v>2.0</v>
      </c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38">
        <v>675.0</v>
      </c>
      <c r="B677" s="39" t="s">
        <v>706</v>
      </c>
      <c r="C677" s="38">
        <v>-2.0</v>
      </c>
      <c r="D677" s="38">
        <v>2.0</v>
      </c>
      <c r="E677" s="38">
        <v>0.0</v>
      </c>
      <c r="F677" s="38">
        <v>0.0</v>
      </c>
      <c r="G677" s="38">
        <v>0.0</v>
      </c>
      <c r="H677" s="38">
        <v>2.0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38">
        <v>676.0</v>
      </c>
      <c r="B678" s="39" t="s">
        <v>707</v>
      </c>
      <c r="C678" s="38">
        <v>-2.0</v>
      </c>
      <c r="D678" s="38">
        <v>4.0</v>
      </c>
      <c r="E678" s="38">
        <v>0.0</v>
      </c>
      <c r="F678" s="38">
        <v>0.0</v>
      </c>
      <c r="G678" s="38">
        <v>1.0</v>
      </c>
      <c r="H678" s="38">
        <v>3.0</v>
      </c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38">
        <v>677.0</v>
      </c>
      <c r="B679" s="39" t="s">
        <v>708</v>
      </c>
      <c r="C679" s="38">
        <v>-2.0</v>
      </c>
      <c r="D679" s="38">
        <v>2.0</v>
      </c>
      <c r="E679" s="38">
        <v>0.0</v>
      </c>
      <c r="F679" s="38">
        <v>0.0</v>
      </c>
      <c r="G679" s="38">
        <v>0.0</v>
      </c>
      <c r="H679" s="38">
        <v>2.0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38">
        <v>678.0</v>
      </c>
      <c r="B680" s="39" t="s">
        <v>709</v>
      </c>
      <c r="C680" s="38">
        <v>-2.0</v>
      </c>
      <c r="D680" s="38">
        <v>2.0</v>
      </c>
      <c r="E680" s="38">
        <v>0.0</v>
      </c>
      <c r="F680" s="38">
        <v>0.0</v>
      </c>
      <c r="G680" s="38">
        <v>0.0</v>
      </c>
      <c r="H680" s="38">
        <v>2.0</v>
      </c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38">
        <v>679.0</v>
      </c>
      <c r="B681" s="39" t="s">
        <v>710</v>
      </c>
      <c r="C681" s="38">
        <v>-2.0</v>
      </c>
      <c r="D681" s="38">
        <v>2.0</v>
      </c>
      <c r="E681" s="38">
        <v>0.0</v>
      </c>
      <c r="F681" s="38">
        <v>0.0</v>
      </c>
      <c r="G681" s="38">
        <v>0.0</v>
      </c>
      <c r="H681" s="38">
        <v>2.0</v>
      </c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38">
        <v>680.0</v>
      </c>
      <c r="B682" s="39" t="s">
        <v>711</v>
      </c>
      <c r="C682" s="38">
        <v>-2.0</v>
      </c>
      <c r="D682" s="38">
        <v>2.0</v>
      </c>
      <c r="E682" s="38">
        <v>0.0</v>
      </c>
      <c r="F682" s="38">
        <v>0.0</v>
      </c>
      <c r="G682" s="38">
        <v>0.0</v>
      </c>
      <c r="H682" s="38">
        <v>2.0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38">
        <v>681.0</v>
      </c>
      <c r="B683" s="39" t="s">
        <v>712</v>
      </c>
      <c r="C683" s="38">
        <v>-2.0</v>
      </c>
      <c r="D683" s="38">
        <v>2.0</v>
      </c>
      <c r="E683" s="38">
        <v>0.0</v>
      </c>
      <c r="F683" s="38">
        <v>0.0</v>
      </c>
      <c r="G683" s="38">
        <v>0.0</v>
      </c>
      <c r="H683" s="38">
        <v>2.0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38">
        <v>682.0</v>
      </c>
      <c r="B684" s="39" t="s">
        <v>713</v>
      </c>
      <c r="C684" s="38">
        <v>-2.0</v>
      </c>
      <c r="D684" s="38">
        <v>2.0</v>
      </c>
      <c r="E684" s="38">
        <v>0.0</v>
      </c>
      <c r="F684" s="38">
        <v>0.0</v>
      </c>
      <c r="G684" s="38">
        <v>0.0</v>
      </c>
      <c r="H684" s="38">
        <v>2.0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38">
        <v>683.0</v>
      </c>
      <c r="B685" s="39" t="s">
        <v>714</v>
      </c>
      <c r="C685" s="38">
        <v>-2.0</v>
      </c>
      <c r="D685" s="38">
        <v>2.0</v>
      </c>
      <c r="E685" s="38">
        <v>0.0</v>
      </c>
      <c r="F685" s="38">
        <v>0.0</v>
      </c>
      <c r="G685" s="38">
        <v>0.0</v>
      </c>
      <c r="H685" s="38">
        <v>2.0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38">
        <v>684.0</v>
      </c>
      <c r="B686" s="39" t="s">
        <v>715</v>
      </c>
      <c r="C686" s="38">
        <v>-2.0</v>
      </c>
      <c r="D686" s="38">
        <v>2.0</v>
      </c>
      <c r="E686" s="38">
        <v>0.0</v>
      </c>
      <c r="F686" s="38">
        <v>0.0</v>
      </c>
      <c r="G686" s="38">
        <v>0.0</v>
      </c>
      <c r="H686" s="38">
        <v>2.0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38">
        <v>685.0</v>
      </c>
      <c r="B687" s="39" t="s">
        <v>716</v>
      </c>
      <c r="C687" s="38">
        <v>-2.0</v>
      </c>
      <c r="D687" s="38">
        <v>2.0</v>
      </c>
      <c r="E687" s="38">
        <v>0.0</v>
      </c>
      <c r="F687" s="38">
        <v>0.0</v>
      </c>
      <c r="G687" s="38">
        <v>0.0</v>
      </c>
      <c r="H687" s="38">
        <v>2.0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38">
        <v>686.0</v>
      </c>
      <c r="B688" s="39" t="s">
        <v>717</v>
      </c>
      <c r="C688" s="38">
        <v>-2.0</v>
      </c>
      <c r="D688" s="38">
        <v>2.0</v>
      </c>
      <c r="E688" s="38">
        <v>0.0</v>
      </c>
      <c r="F688" s="38">
        <v>0.0</v>
      </c>
      <c r="G688" s="38">
        <v>0.0</v>
      </c>
      <c r="H688" s="38">
        <v>2.0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38">
        <v>687.0</v>
      </c>
      <c r="B689" s="39" t="s">
        <v>718</v>
      </c>
      <c r="C689" s="38">
        <v>-2.0</v>
      </c>
      <c r="D689" s="38">
        <v>6.0</v>
      </c>
      <c r="E689" s="38">
        <v>0.0</v>
      </c>
      <c r="F689" s="38">
        <v>0.0</v>
      </c>
      <c r="G689" s="38">
        <v>2.0</v>
      </c>
      <c r="H689" s="38">
        <v>4.0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1">
        <v>688.0</v>
      </c>
      <c r="B690" s="40" t="s">
        <v>719</v>
      </c>
      <c r="C690" s="41">
        <v>-2.0</v>
      </c>
      <c r="D690" s="41">
        <v>2.0</v>
      </c>
      <c r="E690" s="41">
        <v>0.0</v>
      </c>
      <c r="F690" s="41">
        <v>0.0</v>
      </c>
      <c r="G690" s="41">
        <v>0.0</v>
      </c>
      <c r="H690" s="41">
        <v>2.0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1">
        <v>689.0</v>
      </c>
      <c r="B691" s="40" t="s">
        <v>720</v>
      </c>
      <c r="C691" s="41">
        <v>-2.0</v>
      </c>
      <c r="D691" s="41">
        <v>8.0</v>
      </c>
      <c r="E691" s="41">
        <v>0.0</v>
      </c>
      <c r="F691" s="41">
        <v>2.0</v>
      </c>
      <c r="G691" s="41">
        <v>0.0</v>
      </c>
      <c r="H691" s="41">
        <v>6.0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1">
        <v>690.0</v>
      </c>
      <c r="B692" s="40" t="s">
        <v>721</v>
      </c>
      <c r="C692" s="41">
        <v>-2.0</v>
      </c>
      <c r="D692" s="41">
        <v>2.0</v>
      </c>
      <c r="E692" s="41">
        <v>0.0</v>
      </c>
      <c r="F692" s="41">
        <v>0.0</v>
      </c>
      <c r="G692" s="41">
        <v>0.0</v>
      </c>
      <c r="H692" s="41">
        <v>2.0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1">
        <v>691.0</v>
      </c>
      <c r="B693" s="40" t="s">
        <v>722</v>
      </c>
      <c r="C693" s="41">
        <v>-2.0</v>
      </c>
      <c r="D693" s="41">
        <v>2.0</v>
      </c>
      <c r="E693" s="41">
        <v>0.0</v>
      </c>
      <c r="F693" s="41">
        <v>0.0</v>
      </c>
      <c r="G693" s="41">
        <v>0.0</v>
      </c>
      <c r="H693" s="41">
        <v>2.0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1">
        <v>692.0</v>
      </c>
      <c r="B694" s="40" t="s">
        <v>723</v>
      </c>
      <c r="C694" s="41">
        <v>-2.0</v>
      </c>
      <c r="D694" s="41">
        <v>2.0</v>
      </c>
      <c r="E694" s="41">
        <v>0.0</v>
      </c>
      <c r="F694" s="41">
        <v>0.0</v>
      </c>
      <c r="G694" s="41">
        <v>0.0</v>
      </c>
      <c r="H694" s="41">
        <v>2.0</v>
      </c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1">
        <v>693.0</v>
      </c>
      <c r="B695" s="40" t="s">
        <v>724</v>
      </c>
      <c r="C695" s="41">
        <v>-2.0</v>
      </c>
      <c r="D695" s="41">
        <v>2.0</v>
      </c>
      <c r="E695" s="41">
        <v>0.0</v>
      </c>
      <c r="F695" s="41">
        <v>0.0</v>
      </c>
      <c r="G695" s="41">
        <v>0.0</v>
      </c>
      <c r="H695" s="41">
        <v>2.0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1">
        <v>694.0</v>
      </c>
      <c r="B696" s="40" t="s">
        <v>725</v>
      </c>
      <c r="C696" s="41">
        <v>-2.0</v>
      </c>
      <c r="D696" s="41">
        <v>8.0</v>
      </c>
      <c r="E696" s="41">
        <v>0.0</v>
      </c>
      <c r="F696" s="41">
        <v>2.0</v>
      </c>
      <c r="G696" s="41">
        <v>0.0</v>
      </c>
      <c r="H696" s="41">
        <v>6.0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1">
        <v>695.0</v>
      </c>
      <c r="B697" s="40" t="s">
        <v>726</v>
      </c>
      <c r="C697" s="41">
        <v>-2.0</v>
      </c>
      <c r="D697" s="41">
        <v>2.0</v>
      </c>
      <c r="E697" s="41">
        <v>0.0</v>
      </c>
      <c r="F697" s="41">
        <v>0.0</v>
      </c>
      <c r="G697" s="41">
        <v>0.0</v>
      </c>
      <c r="H697" s="41">
        <v>2.0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1">
        <v>696.0</v>
      </c>
      <c r="B698" s="40" t="s">
        <v>727</v>
      </c>
      <c r="C698" s="41">
        <v>-2.0</v>
      </c>
      <c r="D698" s="41">
        <v>2.0</v>
      </c>
      <c r="E698" s="41">
        <v>0.0</v>
      </c>
      <c r="F698" s="41">
        <v>0.0</v>
      </c>
      <c r="G698" s="41">
        <v>0.0</v>
      </c>
      <c r="H698" s="41">
        <v>2.0</v>
      </c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1">
        <v>697.0</v>
      </c>
      <c r="B699" s="40" t="s">
        <v>728</v>
      </c>
      <c r="C699" s="41">
        <v>-2.0</v>
      </c>
      <c r="D699" s="41">
        <v>2.0</v>
      </c>
      <c r="E699" s="41">
        <v>0.0</v>
      </c>
      <c r="F699" s="41">
        <v>0.0</v>
      </c>
      <c r="G699" s="41">
        <v>0.0</v>
      </c>
      <c r="H699" s="41">
        <v>2.0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1">
        <v>698.0</v>
      </c>
      <c r="B700" s="40" t="s">
        <v>729</v>
      </c>
      <c r="C700" s="41">
        <v>-2.0</v>
      </c>
      <c r="D700" s="41">
        <v>2.0</v>
      </c>
      <c r="E700" s="41">
        <v>0.0</v>
      </c>
      <c r="F700" s="41">
        <v>0.0</v>
      </c>
      <c r="G700" s="41">
        <v>0.0</v>
      </c>
      <c r="H700" s="41">
        <v>2.0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1">
        <v>699.0</v>
      </c>
      <c r="B701" s="40" t="s">
        <v>730</v>
      </c>
      <c r="C701" s="41">
        <v>-2.0</v>
      </c>
      <c r="D701" s="41">
        <v>2.0</v>
      </c>
      <c r="E701" s="41">
        <v>0.0</v>
      </c>
      <c r="F701" s="41">
        <v>0.0</v>
      </c>
      <c r="G701" s="41">
        <v>0.0</v>
      </c>
      <c r="H701" s="41">
        <v>2.0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1">
        <v>700.0</v>
      </c>
      <c r="B702" s="40" t="s">
        <v>731</v>
      </c>
      <c r="C702" s="41">
        <v>-2.0</v>
      </c>
      <c r="D702" s="41">
        <v>8.0</v>
      </c>
      <c r="E702" s="41">
        <v>0.0</v>
      </c>
      <c r="F702" s="41">
        <v>2.0</v>
      </c>
      <c r="G702" s="41">
        <v>0.0</v>
      </c>
      <c r="H702" s="41">
        <v>6.0</v>
      </c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1">
        <v>701.0</v>
      </c>
      <c r="B703" s="40" t="s">
        <v>732</v>
      </c>
      <c r="C703" s="41">
        <v>-2.0</v>
      </c>
      <c r="D703" s="41">
        <v>2.0</v>
      </c>
      <c r="E703" s="41">
        <v>0.0</v>
      </c>
      <c r="F703" s="41">
        <v>0.0</v>
      </c>
      <c r="G703" s="41">
        <v>0.0</v>
      </c>
      <c r="H703" s="41">
        <v>2.0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1">
        <v>702.0</v>
      </c>
      <c r="B704" s="40" t="s">
        <v>733</v>
      </c>
      <c r="C704" s="41">
        <v>-2.0</v>
      </c>
      <c r="D704" s="41">
        <v>2.0</v>
      </c>
      <c r="E704" s="41">
        <v>0.0</v>
      </c>
      <c r="F704" s="41">
        <v>0.0</v>
      </c>
      <c r="G704" s="41">
        <v>0.0</v>
      </c>
      <c r="H704" s="41">
        <v>2.0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1">
        <v>703.0</v>
      </c>
      <c r="B705" s="40" t="s">
        <v>734</v>
      </c>
      <c r="C705" s="41">
        <v>-2.0</v>
      </c>
      <c r="D705" s="41">
        <v>2.0</v>
      </c>
      <c r="E705" s="41">
        <v>0.0</v>
      </c>
      <c r="F705" s="41">
        <v>0.0</v>
      </c>
      <c r="G705" s="41">
        <v>0.0</v>
      </c>
      <c r="H705" s="41">
        <v>2.0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1">
        <v>704.0</v>
      </c>
      <c r="B706" s="40" t="s">
        <v>735</v>
      </c>
      <c r="C706" s="41">
        <v>-2.0</v>
      </c>
      <c r="D706" s="41">
        <v>2.0</v>
      </c>
      <c r="E706" s="41">
        <v>0.0</v>
      </c>
      <c r="F706" s="41">
        <v>0.0</v>
      </c>
      <c r="G706" s="41">
        <v>0.0</v>
      </c>
      <c r="H706" s="41">
        <v>2.0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1">
        <v>705.0</v>
      </c>
      <c r="B707" s="40" t="s">
        <v>736</v>
      </c>
      <c r="C707" s="41">
        <v>-2.0</v>
      </c>
      <c r="D707" s="41">
        <v>2.0</v>
      </c>
      <c r="E707" s="41">
        <v>0.0</v>
      </c>
      <c r="F707" s="41">
        <v>0.0</v>
      </c>
      <c r="G707" s="41">
        <v>0.0</v>
      </c>
      <c r="H707" s="41">
        <v>2.0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1">
        <v>706.0</v>
      </c>
      <c r="B708" s="40" t="s">
        <v>737</v>
      </c>
      <c r="C708" s="41">
        <v>-2.0</v>
      </c>
      <c r="D708" s="41">
        <v>2.0</v>
      </c>
      <c r="E708" s="41">
        <v>0.0</v>
      </c>
      <c r="F708" s="41">
        <v>0.0</v>
      </c>
      <c r="G708" s="41">
        <v>0.0</v>
      </c>
      <c r="H708" s="41">
        <v>2.0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1">
        <v>707.0</v>
      </c>
      <c r="B709" s="40" t="s">
        <v>738</v>
      </c>
      <c r="C709" s="41">
        <v>-2.0</v>
      </c>
      <c r="D709" s="41">
        <v>2.0</v>
      </c>
      <c r="E709" s="41">
        <v>0.0</v>
      </c>
      <c r="F709" s="41">
        <v>0.0</v>
      </c>
      <c r="G709" s="41">
        <v>0.0</v>
      </c>
      <c r="H709" s="41">
        <v>2.0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1">
        <v>708.0</v>
      </c>
      <c r="B710" s="40" t="s">
        <v>739</v>
      </c>
      <c r="C710" s="41">
        <v>-2.0</v>
      </c>
      <c r="D710" s="41">
        <v>2.0</v>
      </c>
      <c r="E710" s="41">
        <v>0.0</v>
      </c>
      <c r="F710" s="41">
        <v>0.0</v>
      </c>
      <c r="G710" s="41">
        <v>0.0</v>
      </c>
      <c r="H710" s="41">
        <v>2.0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1">
        <v>709.0</v>
      </c>
      <c r="B711" s="40" t="s">
        <v>740</v>
      </c>
      <c r="C711" s="41">
        <v>-2.0</v>
      </c>
      <c r="D711" s="41">
        <v>2.0</v>
      </c>
      <c r="E711" s="41">
        <v>0.0</v>
      </c>
      <c r="F711" s="41">
        <v>0.0</v>
      </c>
      <c r="G711" s="41">
        <v>0.0</v>
      </c>
      <c r="H711" s="41">
        <v>2.0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1">
        <v>710.0</v>
      </c>
      <c r="B712" s="40" t="s">
        <v>741</v>
      </c>
      <c r="C712" s="41">
        <v>-2.0</v>
      </c>
      <c r="D712" s="41">
        <v>4.0</v>
      </c>
      <c r="E712" s="41">
        <v>0.0</v>
      </c>
      <c r="F712" s="41">
        <v>0.0</v>
      </c>
      <c r="G712" s="41">
        <v>1.0</v>
      </c>
      <c r="H712" s="41">
        <v>3.0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1">
        <v>711.0</v>
      </c>
      <c r="B713" s="40" t="s">
        <v>742</v>
      </c>
      <c r="C713" s="41">
        <v>-3.0</v>
      </c>
      <c r="D713" s="41">
        <v>3.0</v>
      </c>
      <c r="E713" s="41">
        <v>0.0</v>
      </c>
      <c r="F713" s="41">
        <v>0.0</v>
      </c>
      <c r="G713" s="41">
        <v>0.0</v>
      </c>
      <c r="H713" s="41">
        <v>3.0</v>
      </c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1">
        <v>712.0</v>
      </c>
      <c r="B714" s="40" t="s">
        <v>743</v>
      </c>
      <c r="C714" s="41">
        <v>-3.0</v>
      </c>
      <c r="D714" s="41">
        <v>3.0</v>
      </c>
      <c r="E714" s="41">
        <v>0.0</v>
      </c>
      <c r="F714" s="41">
        <v>0.0</v>
      </c>
      <c r="G714" s="41">
        <v>0.0</v>
      </c>
      <c r="H714" s="41">
        <v>3.0</v>
      </c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1">
        <v>713.0</v>
      </c>
      <c r="B715" s="40" t="s">
        <v>744</v>
      </c>
      <c r="C715" s="41">
        <v>-3.0</v>
      </c>
      <c r="D715" s="41">
        <v>3.0</v>
      </c>
      <c r="E715" s="41">
        <v>0.0</v>
      </c>
      <c r="F715" s="41">
        <v>0.0</v>
      </c>
      <c r="G715" s="41">
        <v>0.0</v>
      </c>
      <c r="H715" s="41">
        <v>3.0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1">
        <v>714.0</v>
      </c>
      <c r="B716" s="40" t="s">
        <v>745</v>
      </c>
      <c r="C716" s="41">
        <v>-3.0</v>
      </c>
      <c r="D716" s="41">
        <v>5.0</v>
      </c>
      <c r="E716" s="41">
        <v>0.0</v>
      </c>
      <c r="F716" s="41">
        <v>0.0</v>
      </c>
      <c r="G716" s="41">
        <v>1.0</v>
      </c>
      <c r="H716" s="41">
        <v>4.0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1">
        <v>715.0</v>
      </c>
      <c r="B717" s="40" t="s">
        <v>746</v>
      </c>
      <c r="C717" s="41">
        <v>-3.0</v>
      </c>
      <c r="D717" s="41">
        <v>11.0</v>
      </c>
      <c r="E717" s="41">
        <v>0.0</v>
      </c>
      <c r="F717" s="41">
        <v>2.0</v>
      </c>
      <c r="G717" s="41">
        <v>1.0</v>
      </c>
      <c r="H717" s="41">
        <v>8.0</v>
      </c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1">
        <v>716.0</v>
      </c>
      <c r="B718" s="40" t="s">
        <v>747</v>
      </c>
      <c r="C718" s="41">
        <v>-3.0</v>
      </c>
      <c r="D718" s="41">
        <v>12.0</v>
      </c>
      <c r="E718" s="41">
        <v>0.0</v>
      </c>
      <c r="F718" s="41">
        <v>1.0</v>
      </c>
      <c r="G718" s="41">
        <v>3.0</v>
      </c>
      <c r="H718" s="41">
        <v>8.0</v>
      </c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1">
        <v>717.0</v>
      </c>
      <c r="B719" s="40" t="s">
        <v>748</v>
      </c>
      <c r="C719" s="41">
        <v>-3.0</v>
      </c>
      <c r="D719" s="41">
        <v>6.0</v>
      </c>
      <c r="E719" s="41">
        <v>0.0</v>
      </c>
      <c r="F719" s="41">
        <v>1.0</v>
      </c>
      <c r="G719" s="41">
        <v>0.0</v>
      </c>
      <c r="H719" s="41">
        <v>5.0</v>
      </c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1">
        <v>718.0</v>
      </c>
      <c r="B720" s="40" t="s">
        <v>749</v>
      </c>
      <c r="C720" s="41">
        <v>-3.0</v>
      </c>
      <c r="D720" s="41">
        <v>3.0</v>
      </c>
      <c r="E720" s="41">
        <v>0.0</v>
      </c>
      <c r="F720" s="41">
        <v>0.0</v>
      </c>
      <c r="G720" s="41">
        <v>0.0</v>
      </c>
      <c r="H720" s="41">
        <v>3.0</v>
      </c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1">
        <v>719.0</v>
      </c>
      <c r="B721" s="40" t="s">
        <v>750</v>
      </c>
      <c r="C721" s="41">
        <v>-3.0</v>
      </c>
      <c r="D721" s="41">
        <v>6.0</v>
      </c>
      <c r="E721" s="41">
        <v>0.0</v>
      </c>
      <c r="F721" s="41">
        <v>1.0</v>
      </c>
      <c r="G721" s="41">
        <v>0.0</v>
      </c>
      <c r="H721" s="41">
        <v>5.0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1">
        <v>720.0</v>
      </c>
      <c r="B722" s="40" t="s">
        <v>751</v>
      </c>
      <c r="C722" s="41">
        <v>-3.0</v>
      </c>
      <c r="D722" s="41">
        <v>3.0</v>
      </c>
      <c r="E722" s="41">
        <v>0.0</v>
      </c>
      <c r="F722" s="41">
        <v>0.0</v>
      </c>
      <c r="G722" s="41">
        <v>0.0</v>
      </c>
      <c r="H722" s="41">
        <v>3.0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1">
        <v>721.0</v>
      </c>
      <c r="B723" s="40" t="s">
        <v>752</v>
      </c>
      <c r="C723" s="41">
        <v>-3.0</v>
      </c>
      <c r="D723" s="41">
        <v>3.0</v>
      </c>
      <c r="E723" s="41">
        <v>0.0</v>
      </c>
      <c r="F723" s="41">
        <v>0.0</v>
      </c>
      <c r="G723" s="41">
        <v>0.0</v>
      </c>
      <c r="H723" s="41">
        <v>3.0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1">
        <v>722.0</v>
      </c>
      <c r="B724" s="40" t="s">
        <v>753</v>
      </c>
      <c r="C724" s="41">
        <v>-3.0</v>
      </c>
      <c r="D724" s="41">
        <v>3.0</v>
      </c>
      <c r="E724" s="41">
        <v>0.0</v>
      </c>
      <c r="F724" s="41">
        <v>0.0</v>
      </c>
      <c r="G724" s="41">
        <v>0.0</v>
      </c>
      <c r="H724" s="41">
        <v>3.0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1">
        <v>723.0</v>
      </c>
      <c r="B725" s="40" t="s">
        <v>754</v>
      </c>
      <c r="C725" s="41">
        <v>-3.0</v>
      </c>
      <c r="D725" s="41">
        <v>3.0</v>
      </c>
      <c r="E725" s="41">
        <v>0.0</v>
      </c>
      <c r="F725" s="41">
        <v>0.0</v>
      </c>
      <c r="G725" s="41">
        <v>0.0</v>
      </c>
      <c r="H725" s="41">
        <v>3.0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1">
        <v>724.0</v>
      </c>
      <c r="B726" s="40" t="s">
        <v>755</v>
      </c>
      <c r="C726" s="41">
        <v>-3.0</v>
      </c>
      <c r="D726" s="41">
        <v>3.0</v>
      </c>
      <c r="E726" s="41">
        <v>0.0</v>
      </c>
      <c r="F726" s="41">
        <v>0.0</v>
      </c>
      <c r="G726" s="41">
        <v>0.0</v>
      </c>
      <c r="H726" s="41">
        <v>3.0</v>
      </c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1">
        <v>725.0</v>
      </c>
      <c r="B727" s="40" t="s">
        <v>756</v>
      </c>
      <c r="C727" s="41">
        <v>-3.0</v>
      </c>
      <c r="D727" s="41">
        <v>3.0</v>
      </c>
      <c r="E727" s="41">
        <v>0.0</v>
      </c>
      <c r="F727" s="41">
        <v>0.0</v>
      </c>
      <c r="G727" s="41">
        <v>0.0</v>
      </c>
      <c r="H727" s="41">
        <v>3.0</v>
      </c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1">
        <v>726.0</v>
      </c>
      <c r="B728" s="40" t="s">
        <v>757</v>
      </c>
      <c r="C728" s="41">
        <v>-3.0</v>
      </c>
      <c r="D728" s="41">
        <v>3.0</v>
      </c>
      <c r="E728" s="41">
        <v>0.0</v>
      </c>
      <c r="F728" s="41">
        <v>0.0</v>
      </c>
      <c r="G728" s="41">
        <v>0.0</v>
      </c>
      <c r="H728" s="41">
        <v>3.0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1">
        <v>727.0</v>
      </c>
      <c r="B729" s="40" t="s">
        <v>758</v>
      </c>
      <c r="C729" s="41">
        <v>-3.0</v>
      </c>
      <c r="D729" s="41">
        <v>13.0</v>
      </c>
      <c r="E729" s="41">
        <v>1.0</v>
      </c>
      <c r="F729" s="41">
        <v>0.0</v>
      </c>
      <c r="G729" s="41">
        <v>2.0</v>
      </c>
      <c r="H729" s="41">
        <v>10.0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1">
        <v>728.0</v>
      </c>
      <c r="B730" s="40" t="s">
        <v>759</v>
      </c>
      <c r="C730" s="41">
        <v>-3.0</v>
      </c>
      <c r="D730" s="41">
        <v>3.0</v>
      </c>
      <c r="E730" s="41">
        <v>0.0</v>
      </c>
      <c r="F730" s="41">
        <v>0.0</v>
      </c>
      <c r="G730" s="41">
        <v>0.0</v>
      </c>
      <c r="H730" s="41">
        <v>3.0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1">
        <v>729.0</v>
      </c>
      <c r="B731" s="40" t="s">
        <v>760</v>
      </c>
      <c r="C731" s="41">
        <v>-3.0</v>
      </c>
      <c r="D731" s="41">
        <v>3.0</v>
      </c>
      <c r="E731" s="41">
        <v>0.0</v>
      </c>
      <c r="F731" s="41">
        <v>0.0</v>
      </c>
      <c r="G731" s="41">
        <v>0.0</v>
      </c>
      <c r="H731" s="41">
        <v>3.0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1">
        <v>730.0</v>
      </c>
      <c r="B732" s="40" t="s">
        <v>761</v>
      </c>
      <c r="C732" s="41">
        <v>-3.0</v>
      </c>
      <c r="D732" s="41">
        <v>3.0</v>
      </c>
      <c r="E732" s="41">
        <v>0.0</v>
      </c>
      <c r="F732" s="41">
        <v>0.0</v>
      </c>
      <c r="G732" s="41">
        <v>0.0</v>
      </c>
      <c r="H732" s="41">
        <v>3.0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1">
        <v>731.0</v>
      </c>
      <c r="B733" s="40" t="s">
        <v>762</v>
      </c>
      <c r="C733" s="41">
        <v>-3.0</v>
      </c>
      <c r="D733" s="41">
        <v>3.0</v>
      </c>
      <c r="E733" s="41">
        <v>0.0</v>
      </c>
      <c r="F733" s="41">
        <v>0.0</v>
      </c>
      <c r="G733" s="41">
        <v>0.0</v>
      </c>
      <c r="H733" s="41">
        <v>3.0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1">
        <v>732.0</v>
      </c>
      <c r="B734" s="40" t="s">
        <v>763</v>
      </c>
      <c r="C734" s="41">
        <v>-3.0</v>
      </c>
      <c r="D734" s="41">
        <v>3.0</v>
      </c>
      <c r="E734" s="41">
        <v>0.0</v>
      </c>
      <c r="F734" s="41">
        <v>0.0</v>
      </c>
      <c r="G734" s="41">
        <v>0.0</v>
      </c>
      <c r="H734" s="41">
        <v>3.0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1">
        <v>733.0</v>
      </c>
      <c r="B735" s="40" t="s">
        <v>764</v>
      </c>
      <c r="C735" s="41">
        <v>-3.0</v>
      </c>
      <c r="D735" s="41">
        <v>3.0</v>
      </c>
      <c r="E735" s="41">
        <v>0.0</v>
      </c>
      <c r="F735" s="41">
        <v>0.0</v>
      </c>
      <c r="G735" s="41">
        <v>0.0</v>
      </c>
      <c r="H735" s="41">
        <v>3.0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1">
        <v>734.0</v>
      </c>
      <c r="B736" s="40" t="s">
        <v>765</v>
      </c>
      <c r="C736" s="41">
        <v>-3.0</v>
      </c>
      <c r="D736" s="41">
        <v>3.0</v>
      </c>
      <c r="E736" s="41">
        <v>0.0</v>
      </c>
      <c r="F736" s="41">
        <v>0.0</v>
      </c>
      <c r="G736" s="41">
        <v>0.0</v>
      </c>
      <c r="H736" s="41">
        <v>3.0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1">
        <v>735.0</v>
      </c>
      <c r="B737" s="40" t="s">
        <v>766</v>
      </c>
      <c r="C737" s="41">
        <v>-3.0</v>
      </c>
      <c r="D737" s="41">
        <v>7.0</v>
      </c>
      <c r="E737" s="41">
        <v>0.0</v>
      </c>
      <c r="F737" s="41">
        <v>0.0</v>
      </c>
      <c r="G737" s="41">
        <v>2.0</v>
      </c>
      <c r="H737" s="41">
        <v>5.0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1">
        <v>736.0</v>
      </c>
      <c r="B738" s="40" t="s">
        <v>767</v>
      </c>
      <c r="C738" s="41">
        <v>-3.0</v>
      </c>
      <c r="D738" s="41">
        <v>5.0</v>
      </c>
      <c r="E738" s="41">
        <v>0.0</v>
      </c>
      <c r="F738" s="41">
        <v>0.0</v>
      </c>
      <c r="G738" s="41">
        <v>1.0</v>
      </c>
      <c r="H738" s="41">
        <v>4.0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1">
        <v>737.0</v>
      </c>
      <c r="B739" s="40" t="s">
        <v>768</v>
      </c>
      <c r="C739" s="41">
        <v>-3.0</v>
      </c>
      <c r="D739" s="41">
        <v>3.0</v>
      </c>
      <c r="E739" s="41">
        <v>0.0</v>
      </c>
      <c r="F739" s="41">
        <v>0.0</v>
      </c>
      <c r="G739" s="41">
        <v>0.0</v>
      </c>
      <c r="H739" s="41">
        <v>3.0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1">
        <v>738.0</v>
      </c>
      <c r="B740" s="40" t="s">
        <v>769</v>
      </c>
      <c r="C740" s="41">
        <v>-3.0</v>
      </c>
      <c r="D740" s="41">
        <v>3.0</v>
      </c>
      <c r="E740" s="41">
        <v>0.0</v>
      </c>
      <c r="F740" s="41">
        <v>0.0</v>
      </c>
      <c r="G740" s="41">
        <v>0.0</v>
      </c>
      <c r="H740" s="41">
        <v>3.0</v>
      </c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1">
        <v>739.0</v>
      </c>
      <c r="B741" s="40" t="s">
        <v>770</v>
      </c>
      <c r="C741" s="41">
        <v>-3.0</v>
      </c>
      <c r="D741" s="41">
        <v>3.0</v>
      </c>
      <c r="E741" s="41">
        <v>0.0</v>
      </c>
      <c r="F741" s="41">
        <v>0.0</v>
      </c>
      <c r="G741" s="41">
        <v>0.0</v>
      </c>
      <c r="H741" s="41">
        <v>3.0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1">
        <v>740.0</v>
      </c>
      <c r="B742" s="40" t="s">
        <v>771</v>
      </c>
      <c r="C742" s="41">
        <v>-3.0</v>
      </c>
      <c r="D742" s="41">
        <v>3.0</v>
      </c>
      <c r="E742" s="41">
        <v>0.0</v>
      </c>
      <c r="F742" s="41">
        <v>0.0</v>
      </c>
      <c r="G742" s="41">
        <v>0.0</v>
      </c>
      <c r="H742" s="41">
        <v>3.0</v>
      </c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1">
        <v>741.0</v>
      </c>
      <c r="B743" s="40" t="s">
        <v>772</v>
      </c>
      <c r="C743" s="41">
        <v>-3.0</v>
      </c>
      <c r="D743" s="41">
        <v>3.0</v>
      </c>
      <c r="E743" s="41">
        <v>0.0</v>
      </c>
      <c r="F743" s="41">
        <v>0.0</v>
      </c>
      <c r="G743" s="41">
        <v>0.0</v>
      </c>
      <c r="H743" s="41">
        <v>3.0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1">
        <v>742.0</v>
      </c>
      <c r="B744" s="40" t="s">
        <v>773</v>
      </c>
      <c r="C744" s="41">
        <v>-3.0</v>
      </c>
      <c r="D744" s="41">
        <v>3.0</v>
      </c>
      <c r="E744" s="41">
        <v>0.0</v>
      </c>
      <c r="F744" s="41">
        <v>0.0</v>
      </c>
      <c r="G744" s="41">
        <v>0.0</v>
      </c>
      <c r="H744" s="41">
        <v>3.0</v>
      </c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1">
        <v>743.0</v>
      </c>
      <c r="B745" s="40" t="s">
        <v>774</v>
      </c>
      <c r="C745" s="41">
        <v>-3.0</v>
      </c>
      <c r="D745" s="41">
        <v>3.0</v>
      </c>
      <c r="E745" s="41">
        <v>0.0</v>
      </c>
      <c r="F745" s="41">
        <v>0.0</v>
      </c>
      <c r="G745" s="41">
        <v>0.0</v>
      </c>
      <c r="H745" s="41">
        <v>3.0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1">
        <v>744.0</v>
      </c>
      <c r="B746" s="40" t="s">
        <v>775</v>
      </c>
      <c r="C746" s="41">
        <v>-3.0</v>
      </c>
      <c r="D746" s="41">
        <v>3.0</v>
      </c>
      <c r="E746" s="41">
        <v>0.0</v>
      </c>
      <c r="F746" s="41">
        <v>0.0</v>
      </c>
      <c r="G746" s="41">
        <v>0.0</v>
      </c>
      <c r="H746" s="41">
        <v>3.0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1">
        <v>745.0</v>
      </c>
      <c r="B747" s="40" t="s">
        <v>776</v>
      </c>
      <c r="C747" s="41">
        <v>-3.0</v>
      </c>
      <c r="D747" s="41">
        <v>3.0</v>
      </c>
      <c r="E747" s="41">
        <v>0.0</v>
      </c>
      <c r="F747" s="41">
        <v>0.0</v>
      </c>
      <c r="G747" s="41">
        <v>0.0</v>
      </c>
      <c r="H747" s="41">
        <v>3.0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1">
        <v>746.0</v>
      </c>
      <c r="B748" s="40" t="s">
        <v>777</v>
      </c>
      <c r="C748" s="41">
        <v>-3.0</v>
      </c>
      <c r="D748" s="41">
        <v>3.0</v>
      </c>
      <c r="E748" s="41">
        <v>0.0</v>
      </c>
      <c r="F748" s="41">
        <v>0.0</v>
      </c>
      <c r="G748" s="41">
        <v>0.0</v>
      </c>
      <c r="H748" s="41">
        <v>3.0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1">
        <v>747.0</v>
      </c>
      <c r="B749" s="40" t="s">
        <v>778</v>
      </c>
      <c r="C749" s="41">
        <v>-3.0</v>
      </c>
      <c r="D749" s="41">
        <v>3.0</v>
      </c>
      <c r="E749" s="41">
        <v>0.0</v>
      </c>
      <c r="F749" s="41">
        <v>0.0</v>
      </c>
      <c r="G749" s="41">
        <v>0.0</v>
      </c>
      <c r="H749" s="41">
        <v>3.0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1">
        <v>748.0</v>
      </c>
      <c r="B750" s="40" t="s">
        <v>779</v>
      </c>
      <c r="C750" s="41">
        <v>-3.0</v>
      </c>
      <c r="D750" s="41">
        <v>3.0</v>
      </c>
      <c r="E750" s="41">
        <v>0.0</v>
      </c>
      <c r="F750" s="41">
        <v>0.0</v>
      </c>
      <c r="G750" s="41">
        <v>0.0</v>
      </c>
      <c r="H750" s="41">
        <v>3.0</v>
      </c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1">
        <v>749.0</v>
      </c>
      <c r="B751" s="40" t="s">
        <v>780</v>
      </c>
      <c r="C751" s="41">
        <v>-3.0</v>
      </c>
      <c r="D751" s="41">
        <v>3.0</v>
      </c>
      <c r="E751" s="41">
        <v>0.0</v>
      </c>
      <c r="F751" s="41">
        <v>0.0</v>
      </c>
      <c r="G751" s="41">
        <v>0.0</v>
      </c>
      <c r="H751" s="41">
        <v>3.0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1">
        <v>750.0</v>
      </c>
      <c r="B752" s="40" t="s">
        <v>781</v>
      </c>
      <c r="C752" s="41">
        <v>-3.0</v>
      </c>
      <c r="D752" s="41">
        <v>3.0</v>
      </c>
      <c r="E752" s="41">
        <v>0.0</v>
      </c>
      <c r="F752" s="41">
        <v>0.0</v>
      </c>
      <c r="G752" s="41">
        <v>0.0</v>
      </c>
      <c r="H752" s="41">
        <v>3.0</v>
      </c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1">
        <v>751.0</v>
      </c>
      <c r="B753" s="40" t="s">
        <v>782</v>
      </c>
      <c r="C753" s="41">
        <v>-3.0</v>
      </c>
      <c r="D753" s="41">
        <v>5.0</v>
      </c>
      <c r="E753" s="41">
        <v>0.0</v>
      </c>
      <c r="F753" s="41">
        <v>0.0</v>
      </c>
      <c r="G753" s="41">
        <v>1.0</v>
      </c>
      <c r="H753" s="41">
        <v>4.0</v>
      </c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1">
        <v>752.0</v>
      </c>
      <c r="B754" s="40" t="s">
        <v>783</v>
      </c>
      <c r="C754" s="41">
        <v>-3.0</v>
      </c>
      <c r="D754" s="41">
        <v>3.0</v>
      </c>
      <c r="E754" s="41">
        <v>0.0</v>
      </c>
      <c r="F754" s="41">
        <v>0.0</v>
      </c>
      <c r="G754" s="41">
        <v>0.0</v>
      </c>
      <c r="H754" s="41">
        <v>3.0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1">
        <v>753.0</v>
      </c>
      <c r="B755" s="40" t="s">
        <v>784</v>
      </c>
      <c r="C755" s="41">
        <v>-3.0</v>
      </c>
      <c r="D755" s="41">
        <v>3.0</v>
      </c>
      <c r="E755" s="41">
        <v>0.0</v>
      </c>
      <c r="F755" s="41">
        <v>0.0</v>
      </c>
      <c r="G755" s="41">
        <v>0.0</v>
      </c>
      <c r="H755" s="41">
        <v>3.0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1">
        <v>754.0</v>
      </c>
      <c r="B756" s="40" t="s">
        <v>785</v>
      </c>
      <c r="C756" s="41">
        <v>-3.0</v>
      </c>
      <c r="D756" s="41">
        <v>3.0</v>
      </c>
      <c r="E756" s="41">
        <v>0.0</v>
      </c>
      <c r="F756" s="41">
        <v>0.0</v>
      </c>
      <c r="G756" s="41">
        <v>0.0</v>
      </c>
      <c r="H756" s="41">
        <v>3.0</v>
      </c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1">
        <v>755.0</v>
      </c>
      <c r="B757" s="40" t="s">
        <v>786</v>
      </c>
      <c r="C757" s="41">
        <v>-4.0</v>
      </c>
      <c r="D757" s="41">
        <v>4.0</v>
      </c>
      <c r="E757" s="41">
        <v>0.0</v>
      </c>
      <c r="F757" s="41">
        <v>0.0</v>
      </c>
      <c r="G757" s="41">
        <v>0.0</v>
      </c>
      <c r="H757" s="41">
        <v>4.0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1">
        <v>756.0</v>
      </c>
      <c r="B758" s="40" t="s">
        <v>787</v>
      </c>
      <c r="C758" s="41">
        <v>-4.0</v>
      </c>
      <c r="D758" s="41">
        <v>6.0</v>
      </c>
      <c r="E758" s="41">
        <v>0.0</v>
      </c>
      <c r="F758" s="41">
        <v>0.0</v>
      </c>
      <c r="G758" s="41">
        <v>1.0</v>
      </c>
      <c r="H758" s="41">
        <v>5.0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1">
        <v>757.0</v>
      </c>
      <c r="B759" s="40" t="s">
        <v>788</v>
      </c>
      <c r="C759" s="41">
        <v>-4.0</v>
      </c>
      <c r="D759" s="41">
        <v>6.0</v>
      </c>
      <c r="E759" s="41">
        <v>0.0</v>
      </c>
      <c r="F759" s="41">
        <v>0.0</v>
      </c>
      <c r="G759" s="41">
        <v>1.0</v>
      </c>
      <c r="H759" s="41">
        <v>5.0</v>
      </c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1">
        <v>758.0</v>
      </c>
      <c r="B760" s="40" t="s">
        <v>789</v>
      </c>
      <c r="C760" s="41">
        <v>-4.0</v>
      </c>
      <c r="D760" s="41">
        <v>8.0</v>
      </c>
      <c r="E760" s="41">
        <v>0.0</v>
      </c>
      <c r="F760" s="41">
        <v>0.0</v>
      </c>
      <c r="G760" s="41">
        <v>2.0</v>
      </c>
      <c r="H760" s="41">
        <v>6.0</v>
      </c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1">
        <v>759.0</v>
      </c>
      <c r="B761" s="40" t="s">
        <v>790</v>
      </c>
      <c r="C761" s="41">
        <v>-4.0</v>
      </c>
      <c r="D761" s="41">
        <v>4.0</v>
      </c>
      <c r="E761" s="41">
        <v>0.0</v>
      </c>
      <c r="F761" s="41">
        <v>0.0</v>
      </c>
      <c r="G761" s="41">
        <v>0.0</v>
      </c>
      <c r="H761" s="41">
        <v>4.0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1">
        <v>760.0</v>
      </c>
      <c r="B762" s="40" t="s">
        <v>791</v>
      </c>
      <c r="C762" s="41">
        <v>-4.0</v>
      </c>
      <c r="D762" s="41">
        <v>6.0</v>
      </c>
      <c r="E762" s="41">
        <v>0.0</v>
      </c>
      <c r="F762" s="41">
        <v>0.0</v>
      </c>
      <c r="G762" s="41">
        <v>1.0</v>
      </c>
      <c r="H762" s="41">
        <v>5.0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1">
        <v>761.0</v>
      </c>
      <c r="B763" s="40" t="s">
        <v>792</v>
      </c>
      <c r="C763" s="41">
        <v>-4.0</v>
      </c>
      <c r="D763" s="41">
        <v>7.0</v>
      </c>
      <c r="E763" s="41">
        <v>0.0</v>
      </c>
      <c r="F763" s="41">
        <v>1.0</v>
      </c>
      <c r="G763" s="41">
        <v>0.0</v>
      </c>
      <c r="H763" s="41">
        <v>6.0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1">
        <v>762.0</v>
      </c>
      <c r="B764" s="40" t="s">
        <v>793</v>
      </c>
      <c r="C764" s="41">
        <v>-4.0</v>
      </c>
      <c r="D764" s="41">
        <v>4.0</v>
      </c>
      <c r="E764" s="41">
        <v>0.0</v>
      </c>
      <c r="F764" s="41">
        <v>0.0</v>
      </c>
      <c r="G764" s="41">
        <v>0.0</v>
      </c>
      <c r="H764" s="41">
        <v>4.0</v>
      </c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1">
        <v>763.0</v>
      </c>
      <c r="B765" s="40" t="s">
        <v>794</v>
      </c>
      <c r="C765" s="41">
        <v>-4.0</v>
      </c>
      <c r="D765" s="41">
        <v>4.0</v>
      </c>
      <c r="E765" s="41">
        <v>0.0</v>
      </c>
      <c r="F765" s="41">
        <v>0.0</v>
      </c>
      <c r="G765" s="41">
        <v>0.0</v>
      </c>
      <c r="H765" s="41">
        <v>4.0</v>
      </c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1">
        <v>764.0</v>
      </c>
      <c r="B766" s="40" t="s">
        <v>795</v>
      </c>
      <c r="C766" s="41">
        <v>-4.0</v>
      </c>
      <c r="D766" s="41">
        <v>4.0</v>
      </c>
      <c r="E766" s="41">
        <v>0.0</v>
      </c>
      <c r="F766" s="41">
        <v>0.0</v>
      </c>
      <c r="G766" s="41">
        <v>0.0</v>
      </c>
      <c r="H766" s="41">
        <v>4.0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1">
        <v>765.0</v>
      </c>
      <c r="B767" s="40" t="s">
        <v>796</v>
      </c>
      <c r="C767" s="41">
        <v>-4.0</v>
      </c>
      <c r="D767" s="41">
        <v>4.0</v>
      </c>
      <c r="E767" s="41">
        <v>0.0</v>
      </c>
      <c r="F767" s="41">
        <v>0.0</v>
      </c>
      <c r="G767" s="41">
        <v>0.0</v>
      </c>
      <c r="H767" s="41">
        <v>4.0</v>
      </c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1">
        <v>766.0</v>
      </c>
      <c r="B768" s="40" t="s">
        <v>797</v>
      </c>
      <c r="C768" s="41">
        <v>-4.0</v>
      </c>
      <c r="D768" s="41">
        <v>4.0</v>
      </c>
      <c r="E768" s="41">
        <v>0.0</v>
      </c>
      <c r="F768" s="41">
        <v>0.0</v>
      </c>
      <c r="G768" s="41">
        <v>0.0</v>
      </c>
      <c r="H768" s="41">
        <v>4.0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1">
        <v>767.0</v>
      </c>
      <c r="B769" s="40" t="s">
        <v>798</v>
      </c>
      <c r="C769" s="41">
        <v>-4.0</v>
      </c>
      <c r="D769" s="41">
        <v>4.0</v>
      </c>
      <c r="E769" s="41">
        <v>0.0</v>
      </c>
      <c r="F769" s="41">
        <v>0.0</v>
      </c>
      <c r="G769" s="41">
        <v>0.0</v>
      </c>
      <c r="H769" s="41">
        <v>4.0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1">
        <v>768.0</v>
      </c>
      <c r="B770" s="40" t="s">
        <v>799</v>
      </c>
      <c r="C770" s="41">
        <v>-4.0</v>
      </c>
      <c r="D770" s="41">
        <v>7.0</v>
      </c>
      <c r="E770" s="41">
        <v>0.0</v>
      </c>
      <c r="F770" s="41">
        <v>1.0</v>
      </c>
      <c r="G770" s="41">
        <v>0.0</v>
      </c>
      <c r="H770" s="41">
        <v>6.0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1">
        <v>769.0</v>
      </c>
      <c r="B771" s="40" t="s">
        <v>800</v>
      </c>
      <c r="C771" s="41">
        <v>-4.0</v>
      </c>
      <c r="D771" s="41">
        <v>4.0</v>
      </c>
      <c r="E771" s="41">
        <v>0.0</v>
      </c>
      <c r="F771" s="41">
        <v>0.0</v>
      </c>
      <c r="G771" s="41">
        <v>0.0</v>
      </c>
      <c r="H771" s="41">
        <v>4.0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1">
        <v>770.0</v>
      </c>
      <c r="B772" s="40" t="s">
        <v>801</v>
      </c>
      <c r="C772" s="41">
        <v>-4.0</v>
      </c>
      <c r="D772" s="41">
        <v>4.0</v>
      </c>
      <c r="E772" s="41">
        <v>0.0</v>
      </c>
      <c r="F772" s="41">
        <v>0.0</v>
      </c>
      <c r="G772" s="41">
        <v>0.0</v>
      </c>
      <c r="H772" s="41">
        <v>4.0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1">
        <v>771.0</v>
      </c>
      <c r="B773" s="40" t="s">
        <v>802</v>
      </c>
      <c r="C773" s="41">
        <v>-4.0</v>
      </c>
      <c r="D773" s="41">
        <v>4.0</v>
      </c>
      <c r="E773" s="41">
        <v>0.0</v>
      </c>
      <c r="F773" s="41">
        <v>0.0</v>
      </c>
      <c r="G773" s="41">
        <v>0.0</v>
      </c>
      <c r="H773" s="41">
        <v>4.0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1">
        <v>772.0</v>
      </c>
      <c r="B774" s="40" t="s">
        <v>803</v>
      </c>
      <c r="C774" s="41">
        <v>-4.0</v>
      </c>
      <c r="D774" s="41">
        <v>4.0</v>
      </c>
      <c r="E774" s="41">
        <v>0.0</v>
      </c>
      <c r="F774" s="41">
        <v>0.0</v>
      </c>
      <c r="G774" s="41">
        <v>0.0</v>
      </c>
      <c r="H774" s="41">
        <v>4.0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1">
        <v>773.0</v>
      </c>
      <c r="B775" s="40" t="s">
        <v>804</v>
      </c>
      <c r="C775" s="41">
        <v>-4.0</v>
      </c>
      <c r="D775" s="41">
        <v>4.0</v>
      </c>
      <c r="E775" s="41">
        <v>0.0</v>
      </c>
      <c r="F775" s="41">
        <v>0.0</v>
      </c>
      <c r="G775" s="41">
        <v>0.0</v>
      </c>
      <c r="H775" s="41">
        <v>4.0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1">
        <v>774.0</v>
      </c>
      <c r="B776" s="40" t="s">
        <v>805</v>
      </c>
      <c r="C776" s="41">
        <v>-4.0</v>
      </c>
      <c r="D776" s="41">
        <v>7.0</v>
      </c>
      <c r="E776" s="41">
        <v>0.0</v>
      </c>
      <c r="F776" s="41">
        <v>1.0</v>
      </c>
      <c r="G776" s="41">
        <v>0.0</v>
      </c>
      <c r="H776" s="41">
        <v>6.0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1">
        <v>775.0</v>
      </c>
      <c r="B777" s="40" t="s">
        <v>806</v>
      </c>
      <c r="C777" s="41">
        <v>-4.0</v>
      </c>
      <c r="D777" s="41">
        <v>7.0</v>
      </c>
      <c r="E777" s="41">
        <v>0.0</v>
      </c>
      <c r="F777" s="41">
        <v>1.0</v>
      </c>
      <c r="G777" s="41">
        <v>0.0</v>
      </c>
      <c r="H777" s="41">
        <v>6.0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1">
        <v>776.0</v>
      </c>
      <c r="B778" s="40" t="s">
        <v>807</v>
      </c>
      <c r="C778" s="41">
        <v>-4.0</v>
      </c>
      <c r="D778" s="41">
        <v>4.0</v>
      </c>
      <c r="E778" s="41">
        <v>0.0</v>
      </c>
      <c r="F778" s="41">
        <v>0.0</v>
      </c>
      <c r="G778" s="41">
        <v>0.0</v>
      </c>
      <c r="H778" s="41">
        <v>4.0</v>
      </c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1">
        <v>777.0</v>
      </c>
      <c r="B779" s="40" t="s">
        <v>808</v>
      </c>
      <c r="C779" s="41">
        <v>-4.0</v>
      </c>
      <c r="D779" s="41">
        <v>6.0</v>
      </c>
      <c r="E779" s="41">
        <v>0.0</v>
      </c>
      <c r="F779" s="41">
        <v>0.0</v>
      </c>
      <c r="G779" s="41">
        <v>1.0</v>
      </c>
      <c r="H779" s="41">
        <v>5.0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1">
        <v>778.0</v>
      </c>
      <c r="B780" s="40" t="s">
        <v>809</v>
      </c>
      <c r="C780" s="41">
        <v>-4.0</v>
      </c>
      <c r="D780" s="41">
        <v>6.0</v>
      </c>
      <c r="E780" s="41">
        <v>0.0</v>
      </c>
      <c r="F780" s="41">
        <v>0.0</v>
      </c>
      <c r="G780" s="41">
        <v>1.0</v>
      </c>
      <c r="H780" s="41">
        <v>5.0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1">
        <v>779.0</v>
      </c>
      <c r="B781" s="40" t="s">
        <v>810</v>
      </c>
      <c r="C781" s="41">
        <v>-5.0</v>
      </c>
      <c r="D781" s="41">
        <v>7.0</v>
      </c>
      <c r="E781" s="41">
        <v>0.0</v>
      </c>
      <c r="F781" s="41">
        <v>0.0</v>
      </c>
      <c r="G781" s="41">
        <v>1.0</v>
      </c>
      <c r="H781" s="41">
        <v>6.0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1">
        <v>780.0</v>
      </c>
      <c r="B782" s="40" t="s">
        <v>811</v>
      </c>
      <c r="C782" s="41">
        <v>-5.0</v>
      </c>
      <c r="D782" s="41">
        <v>5.0</v>
      </c>
      <c r="E782" s="41">
        <v>0.0</v>
      </c>
      <c r="F782" s="41">
        <v>0.0</v>
      </c>
      <c r="G782" s="41">
        <v>0.0</v>
      </c>
      <c r="H782" s="41">
        <v>5.0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1">
        <v>781.0</v>
      </c>
      <c r="B783" s="40" t="s">
        <v>812</v>
      </c>
      <c r="C783" s="41">
        <v>-5.0</v>
      </c>
      <c r="D783" s="41">
        <v>16.0</v>
      </c>
      <c r="E783" s="41">
        <v>0.0</v>
      </c>
      <c r="F783" s="41">
        <v>1.0</v>
      </c>
      <c r="G783" s="41">
        <v>4.0</v>
      </c>
      <c r="H783" s="41">
        <v>11.0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1">
        <v>782.0</v>
      </c>
      <c r="B784" s="40" t="s">
        <v>813</v>
      </c>
      <c r="C784" s="41">
        <v>-5.0</v>
      </c>
      <c r="D784" s="41">
        <v>12.0</v>
      </c>
      <c r="E784" s="41">
        <v>0.0</v>
      </c>
      <c r="F784" s="41">
        <v>1.0</v>
      </c>
      <c r="G784" s="41">
        <v>2.0</v>
      </c>
      <c r="H784" s="41">
        <v>9.0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1">
        <v>783.0</v>
      </c>
      <c r="B785" s="40" t="s">
        <v>814</v>
      </c>
      <c r="C785" s="41">
        <v>-5.0</v>
      </c>
      <c r="D785" s="41">
        <v>20.0</v>
      </c>
      <c r="E785" s="41">
        <v>0.0</v>
      </c>
      <c r="F785" s="41">
        <v>3.0</v>
      </c>
      <c r="G785" s="41">
        <v>3.0</v>
      </c>
      <c r="H785" s="41">
        <v>14.0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1">
        <v>784.0</v>
      </c>
      <c r="B786" s="40" t="s">
        <v>815</v>
      </c>
      <c r="C786" s="41">
        <v>-5.0</v>
      </c>
      <c r="D786" s="41">
        <v>9.0</v>
      </c>
      <c r="E786" s="41">
        <v>0.0</v>
      </c>
      <c r="F786" s="41">
        <v>0.0</v>
      </c>
      <c r="G786" s="41">
        <v>2.0</v>
      </c>
      <c r="H786" s="41">
        <v>7.0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1">
        <v>785.0</v>
      </c>
      <c r="B787" s="40" t="s">
        <v>816</v>
      </c>
      <c r="C787" s="41">
        <v>-5.0</v>
      </c>
      <c r="D787" s="41">
        <v>5.0</v>
      </c>
      <c r="E787" s="41">
        <v>0.0</v>
      </c>
      <c r="F787" s="41">
        <v>0.0</v>
      </c>
      <c r="G787" s="41">
        <v>0.0</v>
      </c>
      <c r="H787" s="41">
        <v>5.0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1">
        <v>786.0</v>
      </c>
      <c r="B788" s="40" t="s">
        <v>817</v>
      </c>
      <c r="C788" s="41">
        <v>-5.0</v>
      </c>
      <c r="D788" s="41">
        <v>5.0</v>
      </c>
      <c r="E788" s="41">
        <v>0.0</v>
      </c>
      <c r="F788" s="41">
        <v>0.0</v>
      </c>
      <c r="G788" s="41">
        <v>0.0</v>
      </c>
      <c r="H788" s="41">
        <v>5.0</v>
      </c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1">
        <v>787.0</v>
      </c>
      <c r="B789" s="40" t="s">
        <v>818</v>
      </c>
      <c r="C789" s="41">
        <v>-5.0</v>
      </c>
      <c r="D789" s="41">
        <v>5.0</v>
      </c>
      <c r="E789" s="41">
        <v>0.0</v>
      </c>
      <c r="F789" s="41">
        <v>0.0</v>
      </c>
      <c r="G789" s="41">
        <v>0.0</v>
      </c>
      <c r="H789" s="41">
        <v>5.0</v>
      </c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1">
        <v>788.0</v>
      </c>
      <c r="B790" s="40" t="s">
        <v>819</v>
      </c>
      <c r="C790" s="41">
        <v>-5.0</v>
      </c>
      <c r="D790" s="41">
        <v>15.0</v>
      </c>
      <c r="E790" s="41">
        <v>0.0</v>
      </c>
      <c r="F790" s="41">
        <v>2.0</v>
      </c>
      <c r="G790" s="41">
        <v>2.0</v>
      </c>
      <c r="H790" s="41">
        <v>11.0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1">
        <v>789.0</v>
      </c>
      <c r="B791" s="40" t="s">
        <v>820</v>
      </c>
      <c r="C791" s="41">
        <v>-5.0</v>
      </c>
      <c r="D791" s="41">
        <v>10.0</v>
      </c>
      <c r="E791" s="41">
        <v>0.0</v>
      </c>
      <c r="F791" s="41">
        <v>1.0</v>
      </c>
      <c r="G791" s="41">
        <v>1.0</v>
      </c>
      <c r="H791" s="41">
        <v>8.0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1">
        <v>790.0</v>
      </c>
      <c r="B792" s="40" t="s">
        <v>821</v>
      </c>
      <c r="C792" s="41">
        <v>-5.0</v>
      </c>
      <c r="D792" s="41">
        <v>12.0</v>
      </c>
      <c r="E792" s="41">
        <v>0.0</v>
      </c>
      <c r="F792" s="41">
        <v>1.0</v>
      </c>
      <c r="G792" s="41">
        <v>2.0</v>
      </c>
      <c r="H792" s="41">
        <v>9.0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1">
        <v>791.0</v>
      </c>
      <c r="B793" s="40" t="s">
        <v>822</v>
      </c>
      <c r="C793" s="41">
        <v>-6.0</v>
      </c>
      <c r="D793" s="41">
        <v>29.0</v>
      </c>
      <c r="E793" s="41">
        <v>0.0</v>
      </c>
      <c r="F793" s="41">
        <v>5.0</v>
      </c>
      <c r="G793" s="41">
        <v>4.0</v>
      </c>
      <c r="H793" s="41">
        <v>20.0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1">
        <v>792.0</v>
      </c>
      <c r="B794" s="40" t="s">
        <v>823</v>
      </c>
      <c r="C794" s="41">
        <v>-6.0</v>
      </c>
      <c r="D794" s="41">
        <v>9.0</v>
      </c>
      <c r="E794" s="41">
        <v>0.0</v>
      </c>
      <c r="F794" s="41">
        <v>1.0</v>
      </c>
      <c r="G794" s="41">
        <v>0.0</v>
      </c>
      <c r="H794" s="41">
        <v>8.0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1">
        <v>793.0</v>
      </c>
      <c r="B795" s="40" t="s">
        <v>824</v>
      </c>
      <c r="C795" s="41">
        <v>-6.0</v>
      </c>
      <c r="D795" s="41">
        <v>6.0</v>
      </c>
      <c r="E795" s="41">
        <v>0.0</v>
      </c>
      <c r="F795" s="41">
        <v>0.0</v>
      </c>
      <c r="G795" s="41">
        <v>0.0</v>
      </c>
      <c r="H795" s="41">
        <v>6.0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1">
        <v>794.0</v>
      </c>
      <c r="B796" s="40" t="s">
        <v>825</v>
      </c>
      <c r="C796" s="41">
        <v>-6.0</v>
      </c>
      <c r="D796" s="41">
        <v>10.0</v>
      </c>
      <c r="E796" s="41">
        <v>0.0</v>
      </c>
      <c r="F796" s="41">
        <v>0.0</v>
      </c>
      <c r="G796" s="41">
        <v>2.0</v>
      </c>
      <c r="H796" s="41">
        <v>8.0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1">
        <v>795.0</v>
      </c>
      <c r="B797" s="40" t="s">
        <v>826</v>
      </c>
      <c r="C797" s="41">
        <v>-6.0</v>
      </c>
      <c r="D797" s="41">
        <v>6.0</v>
      </c>
      <c r="E797" s="41">
        <v>0.0</v>
      </c>
      <c r="F797" s="41">
        <v>0.0</v>
      </c>
      <c r="G797" s="41">
        <v>0.0</v>
      </c>
      <c r="H797" s="41">
        <v>6.0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1">
        <v>796.0</v>
      </c>
      <c r="B798" s="40" t="s">
        <v>827</v>
      </c>
      <c r="C798" s="41">
        <v>-6.0</v>
      </c>
      <c r="D798" s="41">
        <v>6.0</v>
      </c>
      <c r="E798" s="41">
        <v>0.0</v>
      </c>
      <c r="F798" s="41">
        <v>0.0</v>
      </c>
      <c r="G798" s="41">
        <v>0.0</v>
      </c>
      <c r="H798" s="41">
        <v>6.0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1">
        <v>797.0</v>
      </c>
      <c r="B799" s="40" t="s">
        <v>828</v>
      </c>
      <c r="C799" s="41">
        <v>-6.0</v>
      </c>
      <c r="D799" s="41">
        <v>8.0</v>
      </c>
      <c r="E799" s="41">
        <v>0.0</v>
      </c>
      <c r="F799" s="41">
        <v>0.0</v>
      </c>
      <c r="G799" s="41">
        <v>1.0</v>
      </c>
      <c r="H799" s="41">
        <v>7.0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1">
        <v>798.0</v>
      </c>
      <c r="B800" s="40" t="s">
        <v>829</v>
      </c>
      <c r="C800" s="41">
        <v>-6.0</v>
      </c>
      <c r="D800" s="41">
        <v>6.0</v>
      </c>
      <c r="E800" s="41">
        <v>0.0</v>
      </c>
      <c r="F800" s="41">
        <v>0.0</v>
      </c>
      <c r="G800" s="41">
        <v>0.0</v>
      </c>
      <c r="H800" s="41">
        <v>6.0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1">
        <v>799.0</v>
      </c>
      <c r="B801" s="40" t="s">
        <v>830</v>
      </c>
      <c r="C801" s="41">
        <v>-7.0</v>
      </c>
      <c r="D801" s="41">
        <v>7.0</v>
      </c>
      <c r="E801" s="41">
        <v>0.0</v>
      </c>
      <c r="F801" s="41">
        <v>0.0</v>
      </c>
      <c r="G801" s="41">
        <v>0.0</v>
      </c>
      <c r="H801" s="41">
        <v>7.0</v>
      </c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1">
        <v>800.0</v>
      </c>
      <c r="B802" s="40" t="s">
        <v>831</v>
      </c>
      <c r="C802" s="41">
        <v>-7.0</v>
      </c>
      <c r="D802" s="41">
        <v>7.0</v>
      </c>
      <c r="E802" s="41">
        <v>0.0</v>
      </c>
      <c r="F802" s="41">
        <v>0.0</v>
      </c>
      <c r="G802" s="41">
        <v>0.0</v>
      </c>
      <c r="H802" s="41">
        <v>7.0</v>
      </c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1">
        <v>801.0</v>
      </c>
      <c r="B803" s="40" t="s">
        <v>832</v>
      </c>
      <c r="C803" s="41">
        <v>-7.0</v>
      </c>
      <c r="D803" s="41">
        <v>9.0</v>
      </c>
      <c r="E803" s="41">
        <v>0.0</v>
      </c>
      <c r="F803" s="41">
        <v>0.0</v>
      </c>
      <c r="G803" s="41">
        <v>1.0</v>
      </c>
      <c r="H803" s="41">
        <v>8.0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1">
        <v>802.0</v>
      </c>
      <c r="B804" s="40" t="s">
        <v>833</v>
      </c>
      <c r="C804" s="41">
        <v>-7.0</v>
      </c>
      <c r="D804" s="41">
        <v>19.0</v>
      </c>
      <c r="E804" s="41">
        <v>0.0</v>
      </c>
      <c r="F804" s="41">
        <v>4.0</v>
      </c>
      <c r="G804" s="41">
        <v>0.0</v>
      </c>
      <c r="H804" s="41">
        <v>15.0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1">
        <v>803.0</v>
      </c>
      <c r="B805" s="40" t="s">
        <v>834</v>
      </c>
      <c r="C805" s="41">
        <v>-7.0</v>
      </c>
      <c r="D805" s="41">
        <v>7.0</v>
      </c>
      <c r="E805" s="41">
        <v>0.0</v>
      </c>
      <c r="F805" s="41">
        <v>0.0</v>
      </c>
      <c r="G805" s="41">
        <v>0.0</v>
      </c>
      <c r="H805" s="41">
        <v>7.0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1">
        <v>804.0</v>
      </c>
      <c r="B806" s="40" t="s">
        <v>835</v>
      </c>
      <c r="C806" s="41">
        <v>-7.0</v>
      </c>
      <c r="D806" s="41">
        <v>16.0</v>
      </c>
      <c r="E806" s="41">
        <v>0.0</v>
      </c>
      <c r="F806" s="41">
        <v>1.0</v>
      </c>
      <c r="G806" s="41">
        <v>3.0</v>
      </c>
      <c r="H806" s="41">
        <v>12.0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1">
        <v>805.0</v>
      </c>
      <c r="B807" s="40" t="s">
        <v>836</v>
      </c>
      <c r="C807" s="41">
        <v>-8.0</v>
      </c>
      <c r="D807" s="41">
        <v>8.0</v>
      </c>
      <c r="E807" s="41">
        <v>0.0</v>
      </c>
      <c r="F807" s="41">
        <v>0.0</v>
      </c>
      <c r="G807" s="41">
        <v>0.0</v>
      </c>
      <c r="H807" s="41">
        <v>8.0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1">
        <v>806.0</v>
      </c>
      <c r="B808" s="40" t="s">
        <v>837</v>
      </c>
      <c r="C808" s="41">
        <v>-8.0</v>
      </c>
      <c r="D808" s="41">
        <v>26.0</v>
      </c>
      <c r="E808" s="41">
        <v>0.0</v>
      </c>
      <c r="F808" s="41">
        <v>4.0</v>
      </c>
      <c r="G808" s="41">
        <v>3.0</v>
      </c>
      <c r="H808" s="41">
        <v>19.0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1">
        <v>807.0</v>
      </c>
      <c r="B809" s="40" t="s">
        <v>838</v>
      </c>
      <c r="C809" s="41">
        <v>-9.0</v>
      </c>
      <c r="D809" s="41">
        <v>9.0</v>
      </c>
      <c r="E809" s="41">
        <v>0.0</v>
      </c>
      <c r="F809" s="41">
        <v>0.0</v>
      </c>
      <c r="G809" s="41">
        <v>0.0</v>
      </c>
      <c r="H809" s="41">
        <v>9.0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1">
        <v>808.0</v>
      </c>
      <c r="B810" s="40" t="s">
        <v>839</v>
      </c>
      <c r="C810" s="41">
        <v>-11.0</v>
      </c>
      <c r="D810" s="41">
        <v>58.0</v>
      </c>
      <c r="E810" s="41">
        <v>0.0</v>
      </c>
      <c r="F810" s="41">
        <v>11.0</v>
      </c>
      <c r="G810" s="41">
        <v>7.0</v>
      </c>
      <c r="H810" s="41">
        <v>40.0</v>
      </c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1">
        <v>809.0</v>
      </c>
      <c r="B811" s="40" t="s">
        <v>840</v>
      </c>
      <c r="C811" s="41">
        <v>-12.0</v>
      </c>
      <c r="D811" s="41">
        <v>70.0</v>
      </c>
      <c r="E811" s="41">
        <v>0.0</v>
      </c>
      <c r="F811" s="41">
        <v>14.0</v>
      </c>
      <c r="G811" s="41">
        <v>8.0</v>
      </c>
      <c r="H811" s="41">
        <v>48.0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1">
        <v>810.0</v>
      </c>
      <c r="B812" s="40" t="s">
        <v>841</v>
      </c>
      <c r="C812" s="41">
        <v>-12.0</v>
      </c>
      <c r="D812" s="41">
        <v>14.0</v>
      </c>
      <c r="E812" s="41">
        <v>0.0</v>
      </c>
      <c r="F812" s="41">
        <v>0.0</v>
      </c>
      <c r="G812" s="41">
        <v>1.0</v>
      </c>
      <c r="H812" s="41">
        <v>13.0</v>
      </c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1">
        <v>811.0</v>
      </c>
      <c r="B813" s="40" t="s">
        <v>842</v>
      </c>
      <c r="C813" s="41">
        <v>-12.0</v>
      </c>
      <c r="D813" s="41">
        <v>32.0</v>
      </c>
      <c r="E813" s="41">
        <v>0.0</v>
      </c>
      <c r="F813" s="41">
        <v>4.0</v>
      </c>
      <c r="G813" s="41">
        <v>4.0</v>
      </c>
      <c r="H813" s="41">
        <v>24.0</v>
      </c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1">
        <v>812.0</v>
      </c>
      <c r="B814" s="40" t="s">
        <v>843</v>
      </c>
      <c r="C814" s="41">
        <v>-12.0</v>
      </c>
      <c r="D814" s="41">
        <v>17.0</v>
      </c>
      <c r="E814" s="41">
        <v>0.0</v>
      </c>
      <c r="F814" s="41">
        <v>1.0</v>
      </c>
      <c r="G814" s="41">
        <v>1.0</v>
      </c>
      <c r="H814" s="41">
        <v>15.0</v>
      </c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1">
        <v>813.0</v>
      </c>
      <c r="B815" s="40" t="s">
        <v>844</v>
      </c>
      <c r="C815" s="41">
        <v>-15.0</v>
      </c>
      <c r="D815" s="41">
        <v>15.0</v>
      </c>
      <c r="E815" s="41">
        <v>0.0</v>
      </c>
      <c r="F815" s="41">
        <v>0.0</v>
      </c>
      <c r="G815" s="41">
        <v>0.0</v>
      </c>
      <c r="H815" s="41">
        <v>15.0</v>
      </c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1">
        <v>814.0</v>
      </c>
      <c r="B816" s="40" t="s">
        <v>845</v>
      </c>
      <c r="C816" s="41">
        <v>-19.0</v>
      </c>
      <c r="D816" s="41">
        <v>32.0</v>
      </c>
      <c r="E816" s="41">
        <v>0.0</v>
      </c>
      <c r="F816" s="41">
        <v>3.0</v>
      </c>
      <c r="G816" s="41">
        <v>2.0</v>
      </c>
      <c r="H816" s="41">
        <v>27.0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1">
        <v>815.0</v>
      </c>
      <c r="B817" s="40" t="s">
        <v>846</v>
      </c>
      <c r="C817" s="41">
        <v>-20.0</v>
      </c>
      <c r="D817" s="41">
        <v>36.0</v>
      </c>
      <c r="E817" s="41">
        <v>0.0</v>
      </c>
      <c r="F817" s="41">
        <v>4.0</v>
      </c>
      <c r="G817" s="41">
        <v>2.0</v>
      </c>
      <c r="H817" s="41">
        <v>30.0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1">
        <v>816.0</v>
      </c>
      <c r="B818" s="40" t="s">
        <v>847</v>
      </c>
      <c r="C818" s="41">
        <v>-21.0</v>
      </c>
      <c r="D818" s="41">
        <v>65.0</v>
      </c>
      <c r="E818" s="41">
        <v>0.0</v>
      </c>
      <c r="F818" s="41">
        <v>8.0</v>
      </c>
      <c r="G818" s="41">
        <v>10.0</v>
      </c>
      <c r="H818" s="41">
        <v>47.0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1">
        <v>817.0</v>
      </c>
      <c r="B819" s="40" t="s">
        <v>848</v>
      </c>
      <c r="C819" s="41">
        <v>-21.0</v>
      </c>
      <c r="D819" s="41">
        <v>226.0</v>
      </c>
      <c r="E819" s="41">
        <v>0.0</v>
      </c>
      <c r="F819" s="41">
        <v>45.0</v>
      </c>
      <c r="G819" s="41">
        <v>35.0</v>
      </c>
      <c r="H819" s="41">
        <v>146.0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1">
        <v>818.0</v>
      </c>
      <c r="B820" s="40" t="s">
        <v>849</v>
      </c>
      <c r="C820" s="41">
        <v>-22.0</v>
      </c>
      <c r="D820" s="41">
        <v>49.0</v>
      </c>
      <c r="E820" s="41">
        <v>0.0</v>
      </c>
      <c r="F820" s="41">
        <v>7.0</v>
      </c>
      <c r="G820" s="41">
        <v>3.0</v>
      </c>
      <c r="H820" s="41">
        <v>39.0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1">
        <v>819.0</v>
      </c>
      <c r="B821" s="40" t="s">
        <v>850</v>
      </c>
      <c r="C821" s="41">
        <v>-22.0</v>
      </c>
      <c r="D821" s="41">
        <v>41.0</v>
      </c>
      <c r="E821" s="41">
        <v>0.0</v>
      </c>
      <c r="F821" s="41">
        <v>5.0</v>
      </c>
      <c r="G821" s="41">
        <v>2.0</v>
      </c>
      <c r="H821" s="41">
        <v>34.0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1">
        <v>820.0</v>
      </c>
      <c r="B822" s="40" t="s">
        <v>851</v>
      </c>
      <c r="C822" s="41">
        <v>-23.0</v>
      </c>
      <c r="D822" s="41">
        <v>26.0</v>
      </c>
      <c r="E822" s="41">
        <v>0.0</v>
      </c>
      <c r="F822" s="41">
        <v>1.0</v>
      </c>
      <c r="G822" s="41">
        <v>0.0</v>
      </c>
      <c r="H822" s="41">
        <v>25.0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1">
        <v>821.0</v>
      </c>
      <c r="B823" s="40" t="s">
        <v>852</v>
      </c>
      <c r="C823" s="41">
        <v>-24.0</v>
      </c>
      <c r="D823" s="41">
        <v>33.0</v>
      </c>
      <c r="E823" s="41">
        <v>0.0</v>
      </c>
      <c r="F823" s="41">
        <v>1.0</v>
      </c>
      <c r="G823" s="41">
        <v>3.0</v>
      </c>
      <c r="H823" s="41">
        <v>29.0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1">
        <v>822.0</v>
      </c>
      <c r="B824" s="40" t="s">
        <v>853</v>
      </c>
      <c r="C824" s="41">
        <v>-24.0</v>
      </c>
      <c r="D824" s="41">
        <v>49.0</v>
      </c>
      <c r="E824" s="41">
        <v>0.0</v>
      </c>
      <c r="F824" s="41">
        <v>3.0</v>
      </c>
      <c r="G824" s="41">
        <v>8.0</v>
      </c>
      <c r="H824" s="41">
        <v>38.0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1">
        <v>823.0</v>
      </c>
      <c r="B825" s="40" t="s">
        <v>854</v>
      </c>
      <c r="C825" s="41">
        <v>-24.0</v>
      </c>
      <c r="D825" s="41">
        <v>49.0</v>
      </c>
      <c r="E825" s="41">
        <v>0.0</v>
      </c>
      <c r="F825" s="41">
        <v>5.0</v>
      </c>
      <c r="G825" s="41">
        <v>5.0</v>
      </c>
      <c r="H825" s="41">
        <v>39.0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1">
        <v>824.0</v>
      </c>
      <c r="B826" s="40" t="s">
        <v>855</v>
      </c>
      <c r="C826" s="41">
        <v>-26.0</v>
      </c>
      <c r="D826" s="41">
        <v>44.0</v>
      </c>
      <c r="E826" s="41">
        <v>0.0</v>
      </c>
      <c r="F826" s="41">
        <v>4.0</v>
      </c>
      <c r="G826" s="41">
        <v>3.0</v>
      </c>
      <c r="H826" s="41">
        <v>37.0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1">
        <v>825.0</v>
      </c>
      <c r="B827" s="40" t="s">
        <v>856</v>
      </c>
      <c r="C827" s="41">
        <v>-28.0</v>
      </c>
      <c r="D827" s="41">
        <v>59.0</v>
      </c>
      <c r="E827" s="41">
        <v>0.0</v>
      </c>
      <c r="F827" s="41">
        <v>7.0</v>
      </c>
      <c r="G827" s="41">
        <v>5.0</v>
      </c>
      <c r="H827" s="41">
        <v>47.0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1">
        <v>826.0</v>
      </c>
      <c r="B828" s="40" t="s">
        <v>857</v>
      </c>
      <c r="C828" s="41">
        <v>-36.0</v>
      </c>
      <c r="D828" s="41">
        <v>112.0</v>
      </c>
      <c r="E828" s="41">
        <v>0.0</v>
      </c>
      <c r="F828" s="41">
        <v>12.0</v>
      </c>
      <c r="G828" s="41">
        <v>20.0</v>
      </c>
      <c r="H828" s="41">
        <v>80.0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1">
        <v>827.0</v>
      </c>
      <c r="B829" s="40" t="s">
        <v>858</v>
      </c>
      <c r="C829" s="41">
        <v>-40.0</v>
      </c>
      <c r="D829" s="41">
        <v>86.0</v>
      </c>
      <c r="E829" s="41">
        <v>0.0</v>
      </c>
      <c r="F829" s="41">
        <v>10.0</v>
      </c>
      <c r="G829" s="41">
        <v>8.0</v>
      </c>
      <c r="H829" s="41">
        <v>68.0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1">
        <v>828.0</v>
      </c>
      <c r="B830" s="40" t="s">
        <v>859</v>
      </c>
      <c r="C830" s="41">
        <v>-44.0</v>
      </c>
      <c r="D830" s="41">
        <v>124.0</v>
      </c>
      <c r="E830" s="41">
        <v>0.0</v>
      </c>
      <c r="F830" s="41">
        <v>18.0</v>
      </c>
      <c r="G830" s="41">
        <v>13.0</v>
      </c>
      <c r="H830" s="41">
        <v>93.0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1">
        <v>829.0</v>
      </c>
      <c r="B831" s="40" t="s">
        <v>860</v>
      </c>
      <c r="C831" s="41">
        <v>-48.0</v>
      </c>
      <c r="D831" s="41">
        <v>110.0</v>
      </c>
      <c r="E831" s="41">
        <v>0.0</v>
      </c>
      <c r="F831" s="41">
        <v>12.0</v>
      </c>
      <c r="G831" s="41">
        <v>13.0</v>
      </c>
      <c r="H831" s="41">
        <v>85.0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1">
        <v>830.0</v>
      </c>
      <c r="B832" s="40" t="s">
        <v>861</v>
      </c>
      <c r="C832" s="41">
        <v>-58.0</v>
      </c>
      <c r="D832" s="41">
        <v>138.0</v>
      </c>
      <c r="E832" s="41">
        <v>0.0</v>
      </c>
      <c r="F832" s="41">
        <v>24.0</v>
      </c>
      <c r="G832" s="41">
        <v>4.0</v>
      </c>
      <c r="H832" s="41">
        <v>110.0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1">
        <v>831.0</v>
      </c>
      <c r="B833" s="40" t="s">
        <v>862</v>
      </c>
      <c r="C833" s="41">
        <v>-74.0</v>
      </c>
      <c r="D833" s="41">
        <v>258.0</v>
      </c>
      <c r="E833" s="41">
        <v>0.0</v>
      </c>
      <c r="F833" s="41">
        <v>58.0</v>
      </c>
      <c r="G833" s="41">
        <v>5.0</v>
      </c>
      <c r="H833" s="41">
        <v>195.0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1">
        <v>832.0</v>
      </c>
      <c r="B834" s="40" t="s">
        <v>863</v>
      </c>
      <c r="C834" s="41">
        <v>-97.0</v>
      </c>
      <c r="D834" s="41">
        <v>143.0</v>
      </c>
      <c r="E834" s="41">
        <v>1.0</v>
      </c>
      <c r="F834" s="41">
        <v>0.0</v>
      </c>
      <c r="G834" s="41">
        <v>20.0</v>
      </c>
      <c r="H834" s="41">
        <v>122.0</v>
      </c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57"/>
    <col customWidth="1" min="2" max="2" width="32.0"/>
    <col customWidth="1" min="3" max="3" width="20.0"/>
    <col customWidth="1" min="4" max="4" width="10.0"/>
    <col customWidth="1" min="5" max="5" width="14.0"/>
    <col customWidth="1" min="6" max="6" width="12.0"/>
    <col customWidth="1" min="7" max="11" width="8.71"/>
    <col customWidth="1" min="12" max="12" width="21.43"/>
    <col customWidth="1" min="13" max="13" width="8.71"/>
  </cols>
  <sheetData>
    <row r="1" ht="27.75" customHeight="1">
      <c r="A1" s="29" t="s">
        <v>864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30" t="s">
        <v>37</v>
      </c>
      <c r="B2" s="30" t="s">
        <v>15</v>
      </c>
      <c r="C2" s="30" t="s">
        <v>865</v>
      </c>
      <c r="D2" s="30" t="s">
        <v>866</v>
      </c>
      <c r="E2" s="30" t="s">
        <v>23</v>
      </c>
      <c r="F2" s="30" t="s">
        <v>24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38">
        <v>1.0</v>
      </c>
      <c r="B3" s="39" t="s">
        <v>26</v>
      </c>
      <c r="C3" s="38" t="s">
        <v>867</v>
      </c>
      <c r="D3" s="38">
        <v>375.0</v>
      </c>
      <c r="E3" s="38">
        <v>3.0</v>
      </c>
      <c r="F3" s="38">
        <v>1.0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38">
        <v>2.0</v>
      </c>
      <c r="B4" s="39" t="s">
        <v>66</v>
      </c>
      <c r="C4" s="38" t="s">
        <v>868</v>
      </c>
      <c r="D4" s="38">
        <v>345.0</v>
      </c>
      <c r="E4" s="38">
        <v>2.0</v>
      </c>
      <c r="F4" s="38">
        <v>1.0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38">
        <v>3.0</v>
      </c>
      <c r="B5" s="39" t="s">
        <v>426</v>
      </c>
      <c r="C5" s="38" t="s">
        <v>869</v>
      </c>
      <c r="D5" s="38">
        <v>269.0</v>
      </c>
      <c r="E5" s="38">
        <v>3.0</v>
      </c>
      <c r="F5" s="38">
        <v>3.0</v>
      </c>
      <c r="G5" s="4"/>
      <c r="H5" s="4"/>
      <c r="I5" s="4"/>
      <c r="J5" s="4"/>
      <c r="K5" s="4"/>
      <c r="L5" s="42" t="s">
        <v>870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38">
        <v>4.0</v>
      </c>
      <c r="B6" s="39" t="s">
        <v>30</v>
      </c>
      <c r="C6" s="38" t="s">
        <v>871</v>
      </c>
      <c r="D6" s="38">
        <v>262.0</v>
      </c>
      <c r="E6" s="38">
        <v>2.0</v>
      </c>
      <c r="F6" s="38">
        <v>2.0</v>
      </c>
      <c r="G6" s="4"/>
      <c r="H6" s="4"/>
      <c r="I6" s="4"/>
      <c r="J6" s="4"/>
      <c r="K6" s="4"/>
      <c r="L6" s="43"/>
      <c r="M6" s="4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38">
        <v>5.0</v>
      </c>
      <c r="B7" s="39" t="s">
        <v>307</v>
      </c>
      <c r="C7" s="38" t="s">
        <v>872</v>
      </c>
      <c r="D7" s="38">
        <v>258.0</v>
      </c>
      <c r="E7" s="38">
        <v>2.0</v>
      </c>
      <c r="F7" s="38">
        <v>2.0</v>
      </c>
      <c r="G7" s="4"/>
      <c r="H7" s="4"/>
      <c r="I7" s="4"/>
      <c r="J7" s="4"/>
      <c r="K7" s="4"/>
      <c r="L7" s="4" t="s">
        <v>139</v>
      </c>
      <c r="M7" s="44">
        <v>46089.0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38">
        <v>6.0</v>
      </c>
      <c r="B8" s="39" t="s">
        <v>835</v>
      </c>
      <c r="C8" s="38" t="s">
        <v>873</v>
      </c>
      <c r="D8" s="38">
        <v>249.0</v>
      </c>
      <c r="E8" s="38">
        <v>3.0</v>
      </c>
      <c r="F8" s="38">
        <v>2.0</v>
      </c>
      <c r="G8" s="4"/>
      <c r="H8" s="4"/>
      <c r="I8" s="4"/>
      <c r="J8" s="4"/>
      <c r="K8" s="4"/>
      <c r="L8" s="4" t="s">
        <v>96</v>
      </c>
      <c r="M8" s="44">
        <v>46089.0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38">
        <v>7.0</v>
      </c>
      <c r="B9" s="39" t="s">
        <v>27</v>
      </c>
      <c r="C9" s="38" t="s">
        <v>874</v>
      </c>
      <c r="D9" s="38">
        <v>248.0</v>
      </c>
      <c r="E9" s="38">
        <v>3.0</v>
      </c>
      <c r="F9" s="38">
        <v>3.0</v>
      </c>
      <c r="G9" s="4"/>
      <c r="H9" s="4"/>
      <c r="I9" s="4"/>
      <c r="J9" s="4"/>
      <c r="K9" s="4"/>
      <c r="L9" s="4" t="s">
        <v>87</v>
      </c>
      <c r="M9" s="44">
        <v>46089.0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38">
        <v>8.0</v>
      </c>
      <c r="B10" s="39" t="s">
        <v>813</v>
      </c>
      <c r="C10" s="38" t="s">
        <v>875</v>
      </c>
      <c r="D10" s="38">
        <v>243.0</v>
      </c>
      <c r="E10" s="38">
        <v>2.0</v>
      </c>
      <c r="F10" s="38">
        <v>1.0</v>
      </c>
      <c r="G10" s="4"/>
      <c r="H10" s="4"/>
      <c r="I10" s="4"/>
      <c r="J10" s="4"/>
      <c r="K10" s="4"/>
      <c r="L10" s="4" t="s">
        <v>81</v>
      </c>
      <c r="M10" s="44">
        <v>46089.0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38">
        <v>9.0</v>
      </c>
      <c r="B11" s="39" t="s">
        <v>252</v>
      </c>
      <c r="C11" s="38" t="s">
        <v>876</v>
      </c>
      <c r="D11" s="38">
        <v>229.0</v>
      </c>
      <c r="E11" s="38">
        <v>2.0</v>
      </c>
      <c r="F11" s="38">
        <v>2.0</v>
      </c>
      <c r="G11" s="4"/>
      <c r="H11" s="4"/>
      <c r="I11" s="4"/>
      <c r="J11" s="4"/>
      <c r="K11" s="4"/>
      <c r="L11" s="4" t="s">
        <v>85</v>
      </c>
      <c r="M11" s="44">
        <v>46089.0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38">
        <v>10.0</v>
      </c>
      <c r="B12" s="39" t="s">
        <v>269</v>
      </c>
      <c r="C12" s="38" t="s">
        <v>877</v>
      </c>
      <c r="D12" s="38">
        <v>224.0</v>
      </c>
      <c r="E12" s="38">
        <v>2.0</v>
      </c>
      <c r="F12" s="38">
        <v>2.0</v>
      </c>
      <c r="G12" s="4"/>
      <c r="H12" s="4"/>
      <c r="I12" s="4"/>
      <c r="J12" s="4"/>
      <c r="K12" s="4"/>
      <c r="L12" s="4" t="s">
        <v>61</v>
      </c>
      <c r="M12" s="44">
        <v>46089.0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38">
        <v>11.0</v>
      </c>
      <c r="B13" s="39" t="s">
        <v>318</v>
      </c>
      <c r="C13" s="38" t="s">
        <v>878</v>
      </c>
      <c r="D13" s="38">
        <v>221.0</v>
      </c>
      <c r="E13" s="38">
        <v>2.0</v>
      </c>
      <c r="F13" s="38">
        <v>2.0</v>
      </c>
      <c r="G13" s="4"/>
      <c r="H13" s="4"/>
      <c r="I13" s="4"/>
      <c r="J13" s="4"/>
      <c r="K13" s="4"/>
      <c r="L13" s="4" t="s">
        <v>659</v>
      </c>
      <c r="M13" s="44">
        <v>46089.0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38">
        <v>12.0</v>
      </c>
      <c r="B14" s="39" t="s">
        <v>270</v>
      </c>
      <c r="C14" s="38" t="s">
        <v>879</v>
      </c>
      <c r="D14" s="38">
        <v>221.0</v>
      </c>
      <c r="E14" s="38">
        <v>2.0</v>
      </c>
      <c r="F14" s="38">
        <v>1.0</v>
      </c>
      <c r="G14" s="4"/>
      <c r="H14" s="4"/>
      <c r="I14" s="4"/>
      <c r="J14" s="4"/>
      <c r="K14" s="4"/>
      <c r="L14" s="4" t="s">
        <v>84</v>
      </c>
      <c r="M14" s="44">
        <v>46089.0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38">
        <v>13.0</v>
      </c>
      <c r="B15" s="39" t="s">
        <v>386</v>
      </c>
      <c r="C15" s="38" t="s">
        <v>879</v>
      </c>
      <c r="D15" s="38">
        <v>220.0</v>
      </c>
      <c r="E15" s="38">
        <v>2.0</v>
      </c>
      <c r="F15" s="38">
        <v>1.0</v>
      </c>
      <c r="G15" s="4"/>
      <c r="H15" s="4"/>
      <c r="I15" s="4"/>
      <c r="J15" s="4"/>
      <c r="K15" s="4"/>
      <c r="L15" s="4" t="s">
        <v>850</v>
      </c>
      <c r="M15" s="44">
        <v>46089.0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38">
        <v>14.0</v>
      </c>
      <c r="B16" s="39" t="s">
        <v>275</v>
      </c>
      <c r="C16" s="38" t="s">
        <v>880</v>
      </c>
      <c r="D16" s="38">
        <v>219.0</v>
      </c>
      <c r="E16" s="38">
        <v>2.0</v>
      </c>
      <c r="F16" s="38">
        <v>2.0</v>
      </c>
      <c r="G16" s="4"/>
      <c r="H16" s="4"/>
      <c r="I16" s="4"/>
      <c r="J16" s="4"/>
      <c r="K16" s="4"/>
      <c r="L16" s="4" t="s">
        <v>793</v>
      </c>
      <c r="M16" s="44">
        <v>46089.0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38">
        <v>15.0</v>
      </c>
      <c r="B17" s="39" t="s">
        <v>577</v>
      </c>
      <c r="C17" s="38" t="s">
        <v>881</v>
      </c>
      <c r="D17" s="38">
        <v>216.0</v>
      </c>
      <c r="E17" s="38">
        <v>2.0</v>
      </c>
      <c r="F17" s="38">
        <v>2.0</v>
      </c>
      <c r="G17" s="4"/>
      <c r="H17" s="4"/>
      <c r="I17" s="4"/>
      <c r="J17" s="4"/>
      <c r="K17" s="4"/>
      <c r="L17" s="4" t="s">
        <v>882</v>
      </c>
      <c r="M17" s="44">
        <v>46089.0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38">
        <v>16.0</v>
      </c>
      <c r="B18" s="39" t="s">
        <v>29</v>
      </c>
      <c r="C18" s="38" t="s">
        <v>883</v>
      </c>
      <c r="D18" s="38">
        <v>212.0</v>
      </c>
      <c r="E18" s="38">
        <v>2.0</v>
      </c>
      <c r="F18" s="38">
        <v>1.0</v>
      </c>
      <c r="G18" s="4"/>
      <c r="H18" s="4"/>
      <c r="I18" s="4"/>
      <c r="J18" s="4"/>
      <c r="K18" s="4"/>
      <c r="L18" s="4" t="s">
        <v>884</v>
      </c>
      <c r="M18" s="44">
        <v>46089.0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38">
        <v>17.0</v>
      </c>
      <c r="B19" s="39" t="s">
        <v>605</v>
      </c>
      <c r="C19" s="38" t="s">
        <v>885</v>
      </c>
      <c r="D19" s="38">
        <v>211.0</v>
      </c>
      <c r="E19" s="38">
        <v>3.0</v>
      </c>
      <c r="F19" s="38">
        <v>3.0</v>
      </c>
      <c r="G19" s="4"/>
      <c r="H19" s="4"/>
      <c r="I19" s="4"/>
      <c r="J19" s="4"/>
      <c r="K19" s="4"/>
      <c r="L19" s="4" t="s">
        <v>886</v>
      </c>
      <c r="M19" s="44">
        <v>46089.0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38">
        <v>18.0</v>
      </c>
      <c r="B20" s="39" t="s">
        <v>398</v>
      </c>
      <c r="C20" s="38" t="s">
        <v>887</v>
      </c>
      <c r="D20" s="38">
        <v>205.0</v>
      </c>
      <c r="E20" s="38">
        <v>2.0</v>
      </c>
      <c r="F20" s="38">
        <v>2.0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8">
        <v>19.0</v>
      </c>
      <c r="B21" s="39" t="s">
        <v>25</v>
      </c>
      <c r="C21" s="38" t="s">
        <v>887</v>
      </c>
      <c r="D21" s="38">
        <v>204.0</v>
      </c>
      <c r="E21" s="38">
        <v>4.0</v>
      </c>
      <c r="F21" s="38">
        <v>1.0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8">
        <v>20.0</v>
      </c>
      <c r="B22" s="39" t="s">
        <v>33</v>
      </c>
      <c r="C22" s="38" t="s">
        <v>887</v>
      </c>
      <c r="D22" s="38">
        <v>204.0</v>
      </c>
      <c r="E22" s="38">
        <v>2.0</v>
      </c>
      <c r="F22" s="38">
        <v>2.0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8">
        <v>21.0</v>
      </c>
      <c r="B23" s="39" t="s">
        <v>32</v>
      </c>
      <c r="C23" s="38" t="s">
        <v>888</v>
      </c>
      <c r="D23" s="38">
        <v>199.0</v>
      </c>
      <c r="E23" s="38">
        <v>2.0</v>
      </c>
      <c r="F23" s="38">
        <v>2.0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8">
        <v>22.0</v>
      </c>
      <c r="B24" s="39" t="s">
        <v>31</v>
      </c>
      <c r="C24" s="38" t="s">
        <v>889</v>
      </c>
      <c r="D24" s="38">
        <v>196.0</v>
      </c>
      <c r="E24" s="38">
        <v>2.0</v>
      </c>
      <c r="F24" s="38">
        <v>2.0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8">
        <v>23.0</v>
      </c>
      <c r="B25" s="39" t="s">
        <v>283</v>
      </c>
      <c r="C25" s="38" t="s">
        <v>890</v>
      </c>
      <c r="D25" s="38">
        <v>194.0</v>
      </c>
      <c r="E25" s="38">
        <v>2.0</v>
      </c>
      <c r="F25" s="38">
        <v>2.0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8">
        <v>24.0</v>
      </c>
      <c r="B26" s="39" t="s">
        <v>519</v>
      </c>
      <c r="C26" s="38" t="s">
        <v>891</v>
      </c>
      <c r="D26" s="38">
        <v>190.0</v>
      </c>
      <c r="E26" s="38">
        <v>2.0</v>
      </c>
      <c r="F26" s="38">
        <v>2.0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8">
        <v>25.0</v>
      </c>
      <c r="B27" s="39" t="s">
        <v>296</v>
      </c>
      <c r="C27" s="38" t="s">
        <v>892</v>
      </c>
      <c r="D27" s="38">
        <v>182.0</v>
      </c>
      <c r="E27" s="38">
        <v>2.0</v>
      </c>
      <c r="F27" s="38">
        <v>2.0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8">
        <v>26.0</v>
      </c>
      <c r="B28" s="39" t="s">
        <v>28</v>
      </c>
      <c r="C28" s="38" t="s">
        <v>893</v>
      </c>
      <c r="D28" s="38">
        <v>182.0</v>
      </c>
      <c r="E28" s="38">
        <v>6.0</v>
      </c>
      <c r="F28" s="38">
        <v>5.0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8">
        <v>27.0</v>
      </c>
      <c r="B29" s="39" t="s">
        <v>34</v>
      </c>
      <c r="C29" s="38" t="s">
        <v>893</v>
      </c>
      <c r="D29" s="38">
        <v>181.0</v>
      </c>
      <c r="E29" s="38">
        <v>2.0</v>
      </c>
      <c r="F29" s="38">
        <v>2.0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8">
        <v>28.0</v>
      </c>
      <c r="B30" s="39" t="s">
        <v>305</v>
      </c>
      <c r="C30" s="38" t="s">
        <v>894</v>
      </c>
      <c r="D30" s="38">
        <v>181.0</v>
      </c>
      <c r="E30" s="38">
        <v>2.0</v>
      </c>
      <c r="F30" s="38">
        <v>2.0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8">
        <v>29.0</v>
      </c>
      <c r="B31" s="39" t="s">
        <v>238</v>
      </c>
      <c r="C31" s="38" t="s">
        <v>895</v>
      </c>
      <c r="D31" s="38">
        <v>175.0</v>
      </c>
      <c r="E31" s="38">
        <v>2.0</v>
      </c>
      <c r="F31" s="38">
        <v>2.0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8">
        <v>30.0</v>
      </c>
      <c r="B32" s="39" t="s">
        <v>456</v>
      </c>
      <c r="C32" s="38" t="s">
        <v>896</v>
      </c>
      <c r="D32" s="38">
        <v>172.0</v>
      </c>
      <c r="E32" s="38">
        <v>2.0</v>
      </c>
      <c r="F32" s="38">
        <v>2.0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8">
        <v>31.0</v>
      </c>
      <c r="B33" s="39" t="s">
        <v>272</v>
      </c>
      <c r="C33" s="38" t="s">
        <v>897</v>
      </c>
      <c r="D33" s="38">
        <v>164.0</v>
      </c>
      <c r="E33" s="38">
        <v>2.0</v>
      </c>
      <c r="F33" s="38">
        <v>2.0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8">
        <v>32.0</v>
      </c>
      <c r="B34" s="39" t="s">
        <v>363</v>
      </c>
      <c r="C34" s="38" t="s">
        <v>897</v>
      </c>
      <c r="D34" s="38">
        <v>163.0</v>
      </c>
      <c r="E34" s="38">
        <v>2.0</v>
      </c>
      <c r="F34" s="38">
        <v>2.0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8">
        <v>33.0</v>
      </c>
      <c r="B35" s="39" t="s">
        <v>141</v>
      </c>
      <c r="C35" s="38" t="s">
        <v>898</v>
      </c>
      <c r="D35" s="38">
        <v>159.0</v>
      </c>
      <c r="E35" s="38">
        <v>3.0</v>
      </c>
      <c r="F35" s="38">
        <v>3.0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8">
        <v>34.0</v>
      </c>
      <c r="B36" s="39" t="s">
        <v>225</v>
      </c>
      <c r="C36" s="38" t="s">
        <v>899</v>
      </c>
      <c r="D36" s="38">
        <v>157.0</v>
      </c>
      <c r="E36" s="38">
        <v>2.0</v>
      </c>
      <c r="F36" s="38">
        <v>2.0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8">
        <v>35.0</v>
      </c>
      <c r="B37" s="39" t="s">
        <v>503</v>
      </c>
      <c r="C37" s="38" t="s">
        <v>900</v>
      </c>
      <c r="D37" s="38">
        <v>156.0</v>
      </c>
      <c r="E37" s="38">
        <v>4.0</v>
      </c>
      <c r="F37" s="38">
        <v>3.0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8">
        <v>36.0</v>
      </c>
      <c r="B38" s="39" t="s">
        <v>253</v>
      </c>
      <c r="C38" s="38" t="s">
        <v>901</v>
      </c>
      <c r="D38" s="38">
        <v>154.0</v>
      </c>
      <c r="E38" s="38">
        <v>2.0</v>
      </c>
      <c r="F38" s="38">
        <v>1.0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8">
        <v>37.0</v>
      </c>
      <c r="B39" s="39" t="s">
        <v>235</v>
      </c>
      <c r="C39" s="38" t="s">
        <v>902</v>
      </c>
      <c r="D39" s="38">
        <v>154.0</v>
      </c>
      <c r="E39" s="38">
        <v>2.0</v>
      </c>
      <c r="F39" s="38">
        <v>2.0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8">
        <v>38.0</v>
      </c>
      <c r="B40" s="39" t="s">
        <v>273</v>
      </c>
      <c r="C40" s="38" t="s">
        <v>903</v>
      </c>
      <c r="D40" s="38">
        <v>148.0</v>
      </c>
      <c r="E40" s="38">
        <v>2.0</v>
      </c>
      <c r="F40" s="38">
        <v>2.0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8">
        <v>39.0</v>
      </c>
      <c r="B41" s="39" t="s">
        <v>248</v>
      </c>
      <c r="C41" s="38" t="s">
        <v>904</v>
      </c>
      <c r="D41" s="38">
        <v>144.0</v>
      </c>
      <c r="E41" s="38">
        <v>3.0</v>
      </c>
      <c r="F41" s="38">
        <v>3.0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8">
        <v>40.0</v>
      </c>
      <c r="B42" s="39" t="s">
        <v>308</v>
      </c>
      <c r="C42" s="38" t="s">
        <v>905</v>
      </c>
      <c r="D42" s="38">
        <v>142.0</v>
      </c>
      <c r="E42" s="38">
        <v>2.0</v>
      </c>
      <c r="F42" s="38">
        <v>2.0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8">
        <v>41.0</v>
      </c>
      <c r="B43" s="39" t="s">
        <v>174</v>
      </c>
      <c r="C43" s="38" t="s">
        <v>906</v>
      </c>
      <c r="D43" s="38">
        <v>138.0</v>
      </c>
      <c r="E43" s="38">
        <v>2.0</v>
      </c>
      <c r="F43" s="38">
        <v>2.0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38">
        <v>42.0</v>
      </c>
      <c r="B44" s="39" t="s">
        <v>205</v>
      </c>
      <c r="C44" s="38" t="s">
        <v>907</v>
      </c>
      <c r="D44" s="38">
        <v>135.0</v>
      </c>
      <c r="E44" s="38">
        <v>2.0</v>
      </c>
      <c r="F44" s="38">
        <v>2.0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38">
        <v>43.0</v>
      </c>
      <c r="B45" s="39" t="s">
        <v>209</v>
      </c>
      <c r="C45" s="38" t="s">
        <v>908</v>
      </c>
      <c r="D45" s="38">
        <v>133.0</v>
      </c>
      <c r="E45" s="38">
        <v>2.0</v>
      </c>
      <c r="F45" s="38">
        <v>2.0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8">
        <v>44.0</v>
      </c>
      <c r="B46" s="39" t="s">
        <v>244</v>
      </c>
      <c r="C46" s="38" t="s">
        <v>909</v>
      </c>
      <c r="D46" s="38">
        <v>131.0</v>
      </c>
      <c r="E46" s="38">
        <v>2.0</v>
      </c>
      <c r="F46" s="38">
        <v>2.0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38">
        <v>45.0</v>
      </c>
      <c r="B47" s="39" t="s">
        <v>213</v>
      </c>
      <c r="C47" s="38" t="s">
        <v>910</v>
      </c>
      <c r="D47" s="38">
        <v>128.0</v>
      </c>
      <c r="E47" s="38">
        <v>4.0</v>
      </c>
      <c r="F47" s="38">
        <v>3.0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38">
        <v>46.0</v>
      </c>
      <c r="B48" s="39" t="s">
        <v>314</v>
      </c>
      <c r="C48" s="38" t="s">
        <v>911</v>
      </c>
      <c r="D48" s="38">
        <v>123.0</v>
      </c>
      <c r="E48" s="38">
        <v>2.0</v>
      </c>
      <c r="F48" s="38">
        <v>2.0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38">
        <v>47.0</v>
      </c>
      <c r="B49" s="39" t="s">
        <v>812</v>
      </c>
      <c r="C49" s="38" t="s">
        <v>912</v>
      </c>
      <c r="D49" s="38">
        <v>121.0</v>
      </c>
      <c r="E49" s="38">
        <v>2.0</v>
      </c>
      <c r="F49" s="38">
        <v>2.0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38">
        <v>48.0</v>
      </c>
      <c r="B50" s="39" t="s">
        <v>232</v>
      </c>
      <c r="C50" s="38" t="s">
        <v>913</v>
      </c>
      <c r="D50" s="38">
        <v>110.0</v>
      </c>
      <c r="E50" s="38">
        <v>2.0</v>
      </c>
      <c r="F50" s="38">
        <v>2.0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8">
        <v>49.0</v>
      </c>
      <c r="B51" s="39" t="s">
        <v>747</v>
      </c>
      <c r="C51" s="38" t="s">
        <v>914</v>
      </c>
      <c r="D51" s="38">
        <v>87.0</v>
      </c>
      <c r="E51" s="38">
        <v>2.0</v>
      </c>
      <c r="F51" s="38">
        <v>2.0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8">
        <v>50.0</v>
      </c>
      <c r="B52" s="39" t="s">
        <v>484</v>
      </c>
      <c r="C52" s="38" t="s">
        <v>915</v>
      </c>
      <c r="D52" s="38">
        <v>86.0</v>
      </c>
      <c r="E52" s="38">
        <v>2.0</v>
      </c>
      <c r="F52" s="38">
        <v>2.0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38">
        <v>51.0</v>
      </c>
      <c r="B53" s="39" t="s">
        <v>107</v>
      </c>
      <c r="C53" s="38" t="s">
        <v>916</v>
      </c>
      <c r="D53" s="38">
        <v>81.0</v>
      </c>
      <c r="E53" s="38">
        <v>8.0</v>
      </c>
      <c r="F53" s="38">
        <v>2.0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38">
        <v>52.0</v>
      </c>
      <c r="B54" s="39" t="s">
        <v>83</v>
      </c>
      <c r="C54" s="38" t="s">
        <v>917</v>
      </c>
      <c r="D54" s="38">
        <v>80.0</v>
      </c>
      <c r="E54" s="38">
        <v>19.0</v>
      </c>
      <c r="F54" s="38">
        <v>4.0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38">
        <v>53.0</v>
      </c>
      <c r="B55" s="39" t="s">
        <v>177</v>
      </c>
      <c r="C55" s="38" t="s">
        <v>917</v>
      </c>
      <c r="D55" s="38">
        <v>80.0</v>
      </c>
      <c r="E55" s="38">
        <v>3.0</v>
      </c>
      <c r="F55" s="38">
        <v>3.0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38">
        <v>54.0</v>
      </c>
      <c r="B56" s="39" t="s">
        <v>855</v>
      </c>
      <c r="C56" s="38" t="s">
        <v>916</v>
      </c>
      <c r="D56" s="38">
        <v>80.0</v>
      </c>
      <c r="E56" s="38">
        <v>4.0</v>
      </c>
      <c r="F56" s="38">
        <v>1.0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38">
        <v>55.0</v>
      </c>
      <c r="B57" s="39" t="s">
        <v>306</v>
      </c>
      <c r="C57" s="38" t="s">
        <v>917</v>
      </c>
      <c r="D57" s="38">
        <v>80.0</v>
      </c>
      <c r="E57" s="38">
        <v>2.0</v>
      </c>
      <c r="F57" s="38">
        <v>2.0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8">
        <v>56.0</v>
      </c>
      <c r="B58" s="39" t="s">
        <v>842</v>
      </c>
      <c r="C58" s="38" t="s">
        <v>918</v>
      </c>
      <c r="D58" s="38">
        <v>79.0</v>
      </c>
      <c r="E58" s="38">
        <v>4.0</v>
      </c>
      <c r="F58" s="38">
        <v>1.0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38">
        <v>57.0</v>
      </c>
      <c r="B59" s="39" t="s">
        <v>194</v>
      </c>
      <c r="C59" s="38" t="s">
        <v>918</v>
      </c>
      <c r="D59" s="38">
        <v>79.0</v>
      </c>
      <c r="E59" s="38">
        <v>2.0</v>
      </c>
      <c r="F59" s="38">
        <v>2.0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38">
        <v>58.0</v>
      </c>
      <c r="B60" s="39" t="s">
        <v>191</v>
      </c>
      <c r="C60" s="38" t="s">
        <v>918</v>
      </c>
      <c r="D60" s="38">
        <v>78.0</v>
      </c>
      <c r="E60" s="38">
        <v>2.0</v>
      </c>
      <c r="F60" s="38">
        <v>2.0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38">
        <v>59.0</v>
      </c>
      <c r="B61" s="39" t="s">
        <v>261</v>
      </c>
      <c r="C61" s="38" t="s">
        <v>918</v>
      </c>
      <c r="D61" s="38">
        <v>78.0</v>
      </c>
      <c r="E61" s="38">
        <v>2.0</v>
      </c>
      <c r="F61" s="38">
        <v>2.0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38">
        <v>60.0</v>
      </c>
      <c r="B62" s="39" t="s">
        <v>49</v>
      </c>
      <c r="C62" s="38" t="s">
        <v>919</v>
      </c>
      <c r="D62" s="38">
        <v>77.0</v>
      </c>
      <c r="E62" s="38">
        <v>74.0</v>
      </c>
      <c r="F62" s="38">
        <v>17.0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38">
        <v>61.0</v>
      </c>
      <c r="B63" s="39" t="s">
        <v>85</v>
      </c>
      <c r="C63" s="38" t="s">
        <v>919</v>
      </c>
      <c r="D63" s="38">
        <v>77.0</v>
      </c>
      <c r="E63" s="38">
        <v>12.0</v>
      </c>
      <c r="F63" s="38">
        <v>7.0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8">
        <v>62.0</v>
      </c>
      <c r="B64" s="39" t="s">
        <v>853</v>
      </c>
      <c r="C64" s="38" t="s">
        <v>919</v>
      </c>
      <c r="D64" s="38">
        <v>77.0</v>
      </c>
      <c r="E64" s="38">
        <v>5.0</v>
      </c>
      <c r="F64" s="38">
        <v>5.0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8">
        <v>63.0</v>
      </c>
      <c r="B65" s="39" t="s">
        <v>81</v>
      </c>
      <c r="C65" s="38" t="s">
        <v>919</v>
      </c>
      <c r="D65" s="38">
        <v>77.0</v>
      </c>
      <c r="E65" s="38">
        <v>11.0</v>
      </c>
      <c r="F65" s="38">
        <v>5.0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38">
        <v>64.0</v>
      </c>
      <c r="B66" s="39" t="s">
        <v>164</v>
      </c>
      <c r="C66" s="38" t="s">
        <v>919</v>
      </c>
      <c r="D66" s="38">
        <v>77.0</v>
      </c>
      <c r="E66" s="38">
        <v>3.0</v>
      </c>
      <c r="F66" s="38">
        <v>2.0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38">
        <v>65.0</v>
      </c>
      <c r="B67" s="39" t="s">
        <v>211</v>
      </c>
      <c r="C67" s="38" t="s">
        <v>919</v>
      </c>
      <c r="D67" s="38">
        <v>77.0</v>
      </c>
      <c r="E67" s="38">
        <v>2.0</v>
      </c>
      <c r="F67" s="38">
        <v>2.0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38">
        <v>66.0</v>
      </c>
      <c r="B68" s="39" t="s">
        <v>210</v>
      </c>
      <c r="C68" s="38" t="s">
        <v>919</v>
      </c>
      <c r="D68" s="38">
        <v>77.0</v>
      </c>
      <c r="E68" s="38">
        <v>3.0</v>
      </c>
      <c r="F68" s="38">
        <v>3.0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38">
        <v>67.0</v>
      </c>
      <c r="B69" s="39" t="s">
        <v>186</v>
      </c>
      <c r="C69" s="38" t="s">
        <v>919</v>
      </c>
      <c r="D69" s="38">
        <v>76.0</v>
      </c>
      <c r="E69" s="38">
        <v>2.0</v>
      </c>
      <c r="F69" s="38">
        <v>2.0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8">
        <v>68.0</v>
      </c>
      <c r="B70" s="39" t="s">
        <v>42</v>
      </c>
      <c r="C70" s="38" t="s">
        <v>920</v>
      </c>
      <c r="D70" s="38">
        <v>76.0</v>
      </c>
      <c r="E70" s="38">
        <v>211.0</v>
      </c>
      <c r="F70" s="38">
        <v>44.0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38">
        <v>69.0</v>
      </c>
      <c r="B71" s="39" t="s">
        <v>843</v>
      </c>
      <c r="C71" s="38" t="s">
        <v>921</v>
      </c>
      <c r="D71" s="38">
        <v>75.0</v>
      </c>
      <c r="E71" s="38">
        <v>2.0</v>
      </c>
      <c r="F71" s="38">
        <v>2.0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38">
        <v>70.0</v>
      </c>
      <c r="B72" s="39" t="s">
        <v>72</v>
      </c>
      <c r="C72" s="38" t="s">
        <v>922</v>
      </c>
      <c r="D72" s="38">
        <v>74.0</v>
      </c>
      <c r="E72" s="38">
        <v>17.0</v>
      </c>
      <c r="F72" s="38">
        <v>7.0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38">
        <v>71.0</v>
      </c>
      <c r="B73" s="39" t="s">
        <v>111</v>
      </c>
      <c r="C73" s="38" t="s">
        <v>922</v>
      </c>
      <c r="D73" s="38">
        <v>74.0</v>
      </c>
      <c r="E73" s="38">
        <v>3.0</v>
      </c>
      <c r="F73" s="38">
        <v>3.0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38">
        <v>72.0</v>
      </c>
      <c r="B74" s="39" t="s">
        <v>313</v>
      </c>
      <c r="C74" s="38" t="s">
        <v>922</v>
      </c>
      <c r="D74" s="38">
        <v>73.0</v>
      </c>
      <c r="E74" s="38">
        <v>2.0</v>
      </c>
      <c r="F74" s="38">
        <v>2.0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38">
        <v>73.0</v>
      </c>
      <c r="B75" s="39" t="s">
        <v>204</v>
      </c>
      <c r="C75" s="38" t="s">
        <v>923</v>
      </c>
      <c r="D75" s="38">
        <v>73.0</v>
      </c>
      <c r="E75" s="38">
        <v>2.0</v>
      </c>
      <c r="F75" s="38">
        <v>2.0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8">
        <v>74.0</v>
      </c>
      <c r="B76" s="39" t="s">
        <v>96</v>
      </c>
      <c r="C76" s="38" t="s">
        <v>924</v>
      </c>
      <c r="D76" s="38">
        <v>72.0</v>
      </c>
      <c r="E76" s="38">
        <v>22.0</v>
      </c>
      <c r="F76" s="38">
        <v>7.0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8">
        <v>75.0</v>
      </c>
      <c r="B77" s="39" t="s">
        <v>119</v>
      </c>
      <c r="C77" s="38" t="s">
        <v>924</v>
      </c>
      <c r="D77" s="38">
        <v>72.0</v>
      </c>
      <c r="E77" s="38">
        <v>4.0</v>
      </c>
      <c r="F77" s="38">
        <v>4.0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8">
        <v>76.0</v>
      </c>
      <c r="B78" s="39" t="s">
        <v>123</v>
      </c>
      <c r="C78" s="38" t="s">
        <v>925</v>
      </c>
      <c r="D78" s="38">
        <v>71.0</v>
      </c>
      <c r="E78" s="38">
        <v>4.0</v>
      </c>
      <c r="F78" s="38">
        <v>4.0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8">
        <v>77.0</v>
      </c>
      <c r="B79" s="39" t="s">
        <v>69</v>
      </c>
      <c r="C79" s="38" t="s">
        <v>925</v>
      </c>
      <c r="D79" s="38">
        <v>71.0</v>
      </c>
      <c r="E79" s="38">
        <v>12.0</v>
      </c>
      <c r="F79" s="38">
        <v>5.0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8">
        <v>78.0</v>
      </c>
      <c r="B80" s="39" t="s">
        <v>92</v>
      </c>
      <c r="C80" s="38" t="s">
        <v>925</v>
      </c>
      <c r="D80" s="38">
        <v>70.0</v>
      </c>
      <c r="E80" s="38">
        <v>6.0</v>
      </c>
      <c r="F80" s="38">
        <v>1.0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8">
        <v>79.0</v>
      </c>
      <c r="B81" s="39" t="s">
        <v>134</v>
      </c>
      <c r="C81" s="38" t="s">
        <v>925</v>
      </c>
      <c r="D81" s="38">
        <v>70.0</v>
      </c>
      <c r="E81" s="38">
        <v>2.0</v>
      </c>
      <c r="F81" s="38">
        <v>2.0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8">
        <v>80.0</v>
      </c>
      <c r="B82" s="39" t="s">
        <v>178</v>
      </c>
      <c r="C82" s="38" t="s">
        <v>926</v>
      </c>
      <c r="D82" s="38">
        <v>68.0</v>
      </c>
      <c r="E82" s="38">
        <v>2.0</v>
      </c>
      <c r="F82" s="38">
        <v>2.0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38">
        <v>81.0</v>
      </c>
      <c r="B83" s="39" t="s">
        <v>256</v>
      </c>
      <c r="C83" s="38" t="s">
        <v>927</v>
      </c>
      <c r="D83" s="38">
        <v>67.0</v>
      </c>
      <c r="E83" s="38">
        <v>2.0</v>
      </c>
      <c r="F83" s="38">
        <v>2.0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38">
        <v>82.0</v>
      </c>
      <c r="B84" s="39" t="s">
        <v>206</v>
      </c>
      <c r="C84" s="38" t="s">
        <v>927</v>
      </c>
      <c r="D84" s="38">
        <v>67.0</v>
      </c>
      <c r="E84" s="38">
        <v>2.0</v>
      </c>
      <c r="F84" s="38">
        <v>1.0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8">
        <v>83.0</v>
      </c>
      <c r="B85" s="39" t="s">
        <v>228</v>
      </c>
      <c r="C85" s="38" t="s">
        <v>927</v>
      </c>
      <c r="D85" s="38">
        <v>67.0</v>
      </c>
      <c r="E85" s="38">
        <v>2.0</v>
      </c>
      <c r="F85" s="38">
        <v>2.0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8">
        <v>84.0</v>
      </c>
      <c r="B86" s="39" t="s">
        <v>91</v>
      </c>
      <c r="C86" s="38" t="s">
        <v>927</v>
      </c>
      <c r="D86" s="38">
        <v>67.0</v>
      </c>
      <c r="E86" s="38">
        <v>12.0</v>
      </c>
      <c r="F86" s="38">
        <v>8.0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8">
        <v>85.0</v>
      </c>
      <c r="B87" s="39" t="s">
        <v>249</v>
      </c>
      <c r="C87" s="38" t="s">
        <v>927</v>
      </c>
      <c r="D87" s="38">
        <v>67.0</v>
      </c>
      <c r="E87" s="38">
        <v>2.0</v>
      </c>
      <c r="F87" s="38">
        <v>2.0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8">
        <v>86.0</v>
      </c>
      <c r="B88" s="39" t="s">
        <v>56</v>
      </c>
      <c r="C88" s="38" t="s">
        <v>927</v>
      </c>
      <c r="D88" s="38">
        <v>67.0</v>
      </c>
      <c r="E88" s="38">
        <v>4.0</v>
      </c>
      <c r="F88" s="38">
        <v>4.0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8">
        <v>87.0</v>
      </c>
      <c r="B89" s="39" t="s">
        <v>260</v>
      </c>
      <c r="C89" s="38" t="s">
        <v>927</v>
      </c>
      <c r="D89" s="38">
        <v>67.0</v>
      </c>
      <c r="E89" s="38">
        <v>2.0</v>
      </c>
      <c r="F89" s="38">
        <v>1.0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8">
        <v>88.0</v>
      </c>
      <c r="B90" s="39" t="s">
        <v>287</v>
      </c>
      <c r="C90" s="38" t="s">
        <v>927</v>
      </c>
      <c r="D90" s="38">
        <v>67.0</v>
      </c>
      <c r="E90" s="38">
        <v>3.0</v>
      </c>
      <c r="F90" s="38">
        <v>1.0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8">
        <v>89.0</v>
      </c>
      <c r="B91" s="39" t="s">
        <v>263</v>
      </c>
      <c r="C91" s="38" t="s">
        <v>927</v>
      </c>
      <c r="D91" s="38">
        <v>67.0</v>
      </c>
      <c r="E91" s="38">
        <v>2.0</v>
      </c>
      <c r="F91" s="38">
        <v>2.0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8">
        <v>90.0</v>
      </c>
      <c r="B92" s="39" t="s">
        <v>236</v>
      </c>
      <c r="C92" s="38" t="s">
        <v>927</v>
      </c>
      <c r="D92" s="38">
        <v>67.0</v>
      </c>
      <c r="E92" s="38">
        <v>2.0</v>
      </c>
      <c r="F92" s="38">
        <v>2.0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38">
        <v>91.0</v>
      </c>
      <c r="B93" s="39" t="s">
        <v>98</v>
      </c>
      <c r="C93" s="38" t="s">
        <v>927</v>
      </c>
      <c r="D93" s="38">
        <v>67.0</v>
      </c>
      <c r="E93" s="38">
        <v>11.0</v>
      </c>
      <c r="F93" s="38">
        <v>3.0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8">
        <v>92.0</v>
      </c>
      <c r="B94" s="39" t="s">
        <v>196</v>
      </c>
      <c r="C94" s="38" t="s">
        <v>927</v>
      </c>
      <c r="D94" s="38">
        <v>67.0</v>
      </c>
      <c r="E94" s="38">
        <v>3.0</v>
      </c>
      <c r="F94" s="38">
        <v>2.0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38">
        <v>93.0</v>
      </c>
      <c r="B95" s="39" t="s">
        <v>64</v>
      </c>
      <c r="C95" s="38" t="s">
        <v>927</v>
      </c>
      <c r="D95" s="38">
        <v>67.0</v>
      </c>
      <c r="E95" s="38">
        <v>3.0</v>
      </c>
      <c r="F95" s="38">
        <v>3.0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38">
        <v>94.0</v>
      </c>
      <c r="B96" s="39" t="s">
        <v>181</v>
      </c>
      <c r="C96" s="38" t="s">
        <v>927</v>
      </c>
      <c r="D96" s="38">
        <v>67.0</v>
      </c>
      <c r="E96" s="38">
        <v>3.0</v>
      </c>
      <c r="F96" s="38">
        <v>2.0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38">
        <v>95.0</v>
      </c>
      <c r="B97" s="39" t="s">
        <v>814</v>
      </c>
      <c r="C97" s="38" t="s">
        <v>927</v>
      </c>
      <c r="D97" s="38">
        <v>67.0</v>
      </c>
      <c r="E97" s="38">
        <v>3.0</v>
      </c>
      <c r="F97" s="38">
        <v>3.0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38">
        <v>96.0</v>
      </c>
      <c r="B98" s="39" t="s">
        <v>140</v>
      </c>
      <c r="C98" s="38" t="s">
        <v>927</v>
      </c>
      <c r="D98" s="38">
        <v>67.0</v>
      </c>
      <c r="E98" s="38">
        <v>3.0</v>
      </c>
      <c r="F98" s="38">
        <v>3.0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38">
        <v>97.0</v>
      </c>
      <c r="B99" s="39" t="s">
        <v>52</v>
      </c>
      <c r="C99" s="38" t="s">
        <v>927</v>
      </c>
      <c r="D99" s="38">
        <v>67.0</v>
      </c>
      <c r="E99" s="38">
        <v>10.0</v>
      </c>
      <c r="F99" s="38">
        <v>9.0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38">
        <v>98.0</v>
      </c>
      <c r="B100" s="39" t="s">
        <v>135</v>
      </c>
      <c r="C100" s="38" t="s">
        <v>927</v>
      </c>
      <c r="D100" s="38">
        <v>67.0</v>
      </c>
      <c r="E100" s="38">
        <v>10.0</v>
      </c>
      <c r="F100" s="38">
        <v>1.0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38">
        <v>99.0</v>
      </c>
      <c r="B101" s="39" t="s">
        <v>162</v>
      </c>
      <c r="C101" s="38" t="s">
        <v>927</v>
      </c>
      <c r="D101" s="38">
        <v>67.0</v>
      </c>
      <c r="E101" s="38">
        <v>3.0</v>
      </c>
      <c r="F101" s="38">
        <v>3.0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38">
        <v>100.0</v>
      </c>
      <c r="B102" s="39" t="s">
        <v>862</v>
      </c>
      <c r="C102" s="38" t="s">
        <v>927</v>
      </c>
      <c r="D102" s="38">
        <v>67.0</v>
      </c>
      <c r="E102" s="38">
        <v>58.0</v>
      </c>
      <c r="F102" s="38">
        <v>8.0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38">
        <v>101.0</v>
      </c>
      <c r="B103" s="39" t="s">
        <v>226</v>
      </c>
      <c r="C103" s="38" t="s">
        <v>927</v>
      </c>
      <c r="D103" s="38">
        <v>67.0</v>
      </c>
      <c r="E103" s="38">
        <v>2.0</v>
      </c>
      <c r="F103" s="38">
        <v>2.0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38">
        <v>102.0</v>
      </c>
      <c r="B104" s="39" t="s">
        <v>112</v>
      </c>
      <c r="C104" s="38" t="s">
        <v>927</v>
      </c>
      <c r="D104" s="38">
        <v>67.0</v>
      </c>
      <c r="E104" s="38">
        <v>5.0</v>
      </c>
      <c r="F104" s="38">
        <v>3.0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38">
        <v>103.0</v>
      </c>
      <c r="B105" s="39" t="s">
        <v>347</v>
      </c>
      <c r="C105" s="38" t="s">
        <v>927</v>
      </c>
      <c r="D105" s="38">
        <v>67.0</v>
      </c>
      <c r="E105" s="38">
        <v>9.0</v>
      </c>
      <c r="F105" s="38">
        <v>2.0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8">
        <v>104.0</v>
      </c>
      <c r="B106" s="39" t="s">
        <v>293</v>
      </c>
      <c r="C106" s="38" t="s">
        <v>927</v>
      </c>
      <c r="D106" s="38">
        <v>67.0</v>
      </c>
      <c r="E106" s="38">
        <v>2.0</v>
      </c>
      <c r="F106" s="38">
        <v>2.0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8">
        <v>105.0</v>
      </c>
      <c r="B107" s="39" t="s">
        <v>100</v>
      </c>
      <c r="C107" s="38" t="s">
        <v>927</v>
      </c>
      <c r="D107" s="38">
        <v>67.0</v>
      </c>
      <c r="E107" s="38">
        <v>9.0</v>
      </c>
      <c r="F107" s="38">
        <v>6.0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8">
        <v>106.0</v>
      </c>
      <c r="B108" s="39" t="s">
        <v>295</v>
      </c>
      <c r="C108" s="38" t="s">
        <v>927</v>
      </c>
      <c r="D108" s="38">
        <v>67.0</v>
      </c>
      <c r="E108" s="38">
        <v>2.0</v>
      </c>
      <c r="F108" s="38">
        <v>2.0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8">
        <v>107.0</v>
      </c>
      <c r="B109" s="39" t="s">
        <v>230</v>
      </c>
      <c r="C109" s="38" t="s">
        <v>927</v>
      </c>
      <c r="D109" s="38">
        <v>67.0</v>
      </c>
      <c r="E109" s="38">
        <v>5.0</v>
      </c>
      <c r="F109" s="38">
        <v>3.0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8">
        <v>108.0</v>
      </c>
      <c r="B110" s="39" t="s">
        <v>334</v>
      </c>
      <c r="C110" s="38" t="s">
        <v>927</v>
      </c>
      <c r="D110" s="38">
        <v>67.0</v>
      </c>
      <c r="E110" s="38">
        <v>3.0</v>
      </c>
      <c r="F110" s="38">
        <v>3.0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38">
        <v>109.0</v>
      </c>
      <c r="B111" s="39" t="s">
        <v>473</v>
      </c>
      <c r="C111" s="38" t="s">
        <v>927</v>
      </c>
      <c r="D111" s="38">
        <v>67.0</v>
      </c>
      <c r="E111" s="38">
        <v>2.0</v>
      </c>
      <c r="F111" s="38">
        <v>2.0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38">
        <v>110.0</v>
      </c>
      <c r="B112" s="39" t="s">
        <v>143</v>
      </c>
      <c r="C112" s="38" t="s">
        <v>927</v>
      </c>
      <c r="D112" s="38">
        <v>67.0</v>
      </c>
      <c r="E112" s="38">
        <v>3.0</v>
      </c>
      <c r="F112" s="38">
        <v>3.0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38">
        <v>111.0</v>
      </c>
      <c r="B113" s="39" t="s">
        <v>190</v>
      </c>
      <c r="C113" s="38" t="s">
        <v>927</v>
      </c>
      <c r="D113" s="38">
        <v>67.0</v>
      </c>
      <c r="E113" s="38">
        <v>2.0</v>
      </c>
      <c r="F113" s="38">
        <v>2.0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8">
        <v>112.0</v>
      </c>
      <c r="B114" s="39" t="s">
        <v>168</v>
      </c>
      <c r="C114" s="38" t="s">
        <v>927</v>
      </c>
      <c r="D114" s="38">
        <v>67.0</v>
      </c>
      <c r="E114" s="38">
        <v>3.0</v>
      </c>
      <c r="F114" s="38">
        <v>2.0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38">
        <v>113.0</v>
      </c>
      <c r="B115" s="39" t="s">
        <v>152</v>
      </c>
      <c r="C115" s="38" t="s">
        <v>927</v>
      </c>
      <c r="D115" s="38">
        <v>67.0</v>
      </c>
      <c r="E115" s="38">
        <v>3.0</v>
      </c>
      <c r="F115" s="38">
        <v>3.0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38">
        <v>114.0</v>
      </c>
      <c r="B116" s="39" t="s">
        <v>75</v>
      </c>
      <c r="C116" s="38" t="s">
        <v>927</v>
      </c>
      <c r="D116" s="38">
        <v>67.0</v>
      </c>
      <c r="E116" s="38">
        <v>16.0</v>
      </c>
      <c r="F116" s="38">
        <v>8.0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38">
        <v>115.0</v>
      </c>
      <c r="B117" s="39" t="s">
        <v>105</v>
      </c>
      <c r="C117" s="38" t="s">
        <v>927</v>
      </c>
      <c r="D117" s="38">
        <v>67.0</v>
      </c>
      <c r="E117" s="38">
        <v>42.0</v>
      </c>
      <c r="F117" s="38">
        <v>16.0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8">
        <v>116.0</v>
      </c>
      <c r="B118" s="39" t="s">
        <v>138</v>
      </c>
      <c r="C118" s="38" t="s">
        <v>927</v>
      </c>
      <c r="D118" s="38">
        <v>66.0</v>
      </c>
      <c r="E118" s="38">
        <v>12.0</v>
      </c>
      <c r="F118" s="38">
        <v>11.0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8">
        <v>117.0</v>
      </c>
      <c r="B119" s="39" t="s">
        <v>858</v>
      </c>
      <c r="C119" s="38" t="s">
        <v>928</v>
      </c>
      <c r="D119" s="38">
        <v>66.0</v>
      </c>
      <c r="E119" s="38">
        <v>11.0</v>
      </c>
      <c r="F119" s="38">
        <v>11.0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8">
        <v>118.0</v>
      </c>
      <c r="B120" s="39" t="s">
        <v>133</v>
      </c>
      <c r="C120" s="38" t="s">
        <v>927</v>
      </c>
      <c r="D120" s="38">
        <v>66.0</v>
      </c>
      <c r="E120" s="38">
        <v>4.0</v>
      </c>
      <c r="F120" s="38">
        <v>3.0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8">
        <v>119.0</v>
      </c>
      <c r="B121" s="39" t="s">
        <v>87</v>
      </c>
      <c r="C121" s="38" t="s">
        <v>928</v>
      </c>
      <c r="D121" s="38">
        <v>66.0</v>
      </c>
      <c r="E121" s="38">
        <v>7.0</v>
      </c>
      <c r="F121" s="38">
        <v>5.0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38">
        <v>120.0</v>
      </c>
      <c r="B122" s="39" t="s">
        <v>71</v>
      </c>
      <c r="C122" s="38" t="s">
        <v>927</v>
      </c>
      <c r="D122" s="38">
        <v>66.0</v>
      </c>
      <c r="E122" s="38">
        <v>16.0</v>
      </c>
      <c r="F122" s="38">
        <v>10.0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38">
        <v>121.0</v>
      </c>
      <c r="B123" s="39" t="s">
        <v>325</v>
      </c>
      <c r="C123" s="38" t="s">
        <v>927</v>
      </c>
      <c r="D123" s="38">
        <v>66.0</v>
      </c>
      <c r="E123" s="38">
        <v>2.0</v>
      </c>
      <c r="F123" s="38">
        <v>2.0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38">
        <v>122.0</v>
      </c>
      <c r="B124" s="39" t="s">
        <v>93</v>
      </c>
      <c r="C124" s="38" t="s">
        <v>928</v>
      </c>
      <c r="D124" s="38">
        <v>66.0</v>
      </c>
      <c r="E124" s="38">
        <v>7.0</v>
      </c>
      <c r="F124" s="38">
        <v>6.0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38">
        <v>123.0</v>
      </c>
      <c r="B125" s="39" t="s">
        <v>280</v>
      </c>
      <c r="C125" s="38" t="s">
        <v>928</v>
      </c>
      <c r="D125" s="38">
        <v>66.0</v>
      </c>
      <c r="E125" s="38">
        <v>2.0</v>
      </c>
      <c r="F125" s="38">
        <v>2.0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38">
        <v>124.0</v>
      </c>
      <c r="B126" s="39" t="s">
        <v>169</v>
      </c>
      <c r="C126" s="38" t="s">
        <v>927</v>
      </c>
      <c r="D126" s="38">
        <v>66.0</v>
      </c>
      <c r="E126" s="38">
        <v>4.0</v>
      </c>
      <c r="F126" s="38">
        <v>4.0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38">
        <v>125.0</v>
      </c>
      <c r="B127" s="39" t="s">
        <v>160</v>
      </c>
      <c r="C127" s="38" t="s">
        <v>927</v>
      </c>
      <c r="D127" s="38">
        <v>66.0</v>
      </c>
      <c r="E127" s="38">
        <v>2.0</v>
      </c>
      <c r="F127" s="38">
        <v>2.0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38">
        <v>126.0</v>
      </c>
      <c r="B128" s="39" t="s">
        <v>859</v>
      </c>
      <c r="C128" s="38" t="s">
        <v>928</v>
      </c>
      <c r="D128" s="38">
        <v>66.0</v>
      </c>
      <c r="E128" s="38">
        <v>18.0</v>
      </c>
      <c r="F128" s="38">
        <v>15.0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38">
        <v>127.0</v>
      </c>
      <c r="B129" s="39" t="s">
        <v>597</v>
      </c>
      <c r="C129" s="38" t="s">
        <v>928</v>
      </c>
      <c r="D129" s="38">
        <v>66.0</v>
      </c>
      <c r="E129" s="38">
        <v>2.0</v>
      </c>
      <c r="F129" s="38">
        <v>2.0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8">
        <v>128.0</v>
      </c>
      <c r="B130" s="39" t="s">
        <v>212</v>
      </c>
      <c r="C130" s="38" t="s">
        <v>927</v>
      </c>
      <c r="D130" s="38">
        <v>66.0</v>
      </c>
      <c r="E130" s="38">
        <v>2.0</v>
      </c>
      <c r="F130" s="38">
        <v>2.0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38">
        <v>129.0</v>
      </c>
      <c r="B131" s="39" t="s">
        <v>148</v>
      </c>
      <c r="C131" s="38" t="s">
        <v>927</v>
      </c>
      <c r="D131" s="38">
        <v>66.0</v>
      </c>
      <c r="E131" s="38">
        <v>4.0</v>
      </c>
      <c r="F131" s="38">
        <v>4.0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38">
        <v>130.0</v>
      </c>
      <c r="B132" s="39" t="s">
        <v>115</v>
      </c>
      <c r="C132" s="38" t="s">
        <v>928</v>
      </c>
      <c r="D132" s="38">
        <v>66.0</v>
      </c>
      <c r="E132" s="38">
        <v>5.0</v>
      </c>
      <c r="F132" s="38">
        <v>5.0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38">
        <v>131.0</v>
      </c>
      <c r="B133" s="39" t="s">
        <v>324</v>
      </c>
      <c r="C133" s="38" t="s">
        <v>928</v>
      </c>
      <c r="D133" s="38">
        <v>66.0</v>
      </c>
      <c r="E133" s="38">
        <v>5.0</v>
      </c>
      <c r="F133" s="38">
        <v>5.0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38">
        <v>132.0</v>
      </c>
      <c r="B134" s="39" t="s">
        <v>43</v>
      </c>
      <c r="C134" s="38" t="s">
        <v>928</v>
      </c>
      <c r="D134" s="38">
        <v>66.0</v>
      </c>
      <c r="E134" s="38">
        <v>117.0</v>
      </c>
      <c r="F134" s="38">
        <v>58.0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38">
        <v>133.0</v>
      </c>
      <c r="B135" s="39" t="s">
        <v>218</v>
      </c>
      <c r="C135" s="38" t="s">
        <v>927</v>
      </c>
      <c r="D135" s="38">
        <v>66.0</v>
      </c>
      <c r="E135" s="38">
        <v>2.0</v>
      </c>
      <c r="F135" s="38">
        <v>2.0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38">
        <v>134.0</v>
      </c>
      <c r="B136" s="39" t="s">
        <v>854</v>
      </c>
      <c r="C136" s="38" t="s">
        <v>928</v>
      </c>
      <c r="D136" s="38">
        <v>66.0</v>
      </c>
      <c r="E136" s="38">
        <v>5.0</v>
      </c>
      <c r="F136" s="38">
        <v>5.0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38">
        <v>135.0</v>
      </c>
      <c r="B137" s="39" t="s">
        <v>102</v>
      </c>
      <c r="C137" s="38" t="s">
        <v>927</v>
      </c>
      <c r="D137" s="38">
        <v>66.0</v>
      </c>
      <c r="E137" s="38">
        <v>8.0</v>
      </c>
      <c r="F137" s="38">
        <v>6.0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38">
        <v>136.0</v>
      </c>
      <c r="B138" s="39" t="s">
        <v>99</v>
      </c>
      <c r="C138" s="38" t="s">
        <v>927</v>
      </c>
      <c r="D138" s="38">
        <v>66.0</v>
      </c>
      <c r="E138" s="38">
        <v>6.0</v>
      </c>
      <c r="F138" s="38">
        <v>6.0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8">
        <v>137.0</v>
      </c>
      <c r="B139" s="39" t="s">
        <v>60</v>
      </c>
      <c r="C139" s="38" t="s">
        <v>928</v>
      </c>
      <c r="D139" s="38">
        <v>66.0</v>
      </c>
      <c r="E139" s="38">
        <v>5.0</v>
      </c>
      <c r="F139" s="38">
        <v>4.0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8">
        <v>138.0</v>
      </c>
      <c r="B140" s="39" t="s">
        <v>76</v>
      </c>
      <c r="C140" s="38" t="s">
        <v>928</v>
      </c>
      <c r="D140" s="38">
        <v>66.0</v>
      </c>
      <c r="E140" s="38">
        <v>21.0</v>
      </c>
      <c r="F140" s="38">
        <v>14.0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38">
        <v>139.0</v>
      </c>
      <c r="B141" s="39" t="s">
        <v>50</v>
      </c>
      <c r="C141" s="38" t="s">
        <v>928</v>
      </c>
      <c r="D141" s="38">
        <v>66.0</v>
      </c>
      <c r="E141" s="38">
        <v>13.0</v>
      </c>
      <c r="F141" s="38">
        <v>9.0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8">
        <v>140.0</v>
      </c>
      <c r="B142" s="39" t="s">
        <v>233</v>
      </c>
      <c r="C142" s="38" t="s">
        <v>929</v>
      </c>
      <c r="D142" s="38">
        <v>65.0</v>
      </c>
      <c r="E142" s="38">
        <v>2.0</v>
      </c>
      <c r="F142" s="38">
        <v>2.0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8">
        <v>141.0</v>
      </c>
      <c r="B143" s="39" t="s">
        <v>208</v>
      </c>
      <c r="C143" s="38" t="s">
        <v>929</v>
      </c>
      <c r="D143" s="38">
        <v>64.0</v>
      </c>
      <c r="E143" s="38">
        <v>8.0</v>
      </c>
      <c r="F143" s="38">
        <v>7.0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8">
        <v>142.0</v>
      </c>
      <c r="B144" s="39" t="s">
        <v>849</v>
      </c>
      <c r="C144" s="38" t="s">
        <v>929</v>
      </c>
      <c r="D144" s="38">
        <v>64.0</v>
      </c>
      <c r="E144" s="38">
        <v>8.0</v>
      </c>
      <c r="F144" s="38">
        <v>5.0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38">
        <v>143.0</v>
      </c>
      <c r="B145" s="39" t="s">
        <v>852</v>
      </c>
      <c r="C145" s="38" t="s">
        <v>930</v>
      </c>
      <c r="D145" s="38">
        <v>64.0</v>
      </c>
      <c r="E145" s="38">
        <v>3.0</v>
      </c>
      <c r="F145" s="38">
        <v>3.0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38">
        <v>144.0</v>
      </c>
      <c r="B146" s="39" t="s">
        <v>88</v>
      </c>
      <c r="C146" s="38" t="s">
        <v>931</v>
      </c>
      <c r="D146" s="38">
        <v>63.0</v>
      </c>
      <c r="E146" s="38">
        <v>9.0</v>
      </c>
      <c r="F146" s="38">
        <v>7.0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38">
        <v>145.0</v>
      </c>
      <c r="B147" s="39" t="s">
        <v>447</v>
      </c>
      <c r="C147" s="38" t="s">
        <v>931</v>
      </c>
      <c r="D147" s="38">
        <v>63.0</v>
      </c>
      <c r="E147" s="38">
        <v>21.0</v>
      </c>
      <c r="F147" s="38">
        <v>16.0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8">
        <v>146.0</v>
      </c>
      <c r="B148" s="39" t="s">
        <v>847</v>
      </c>
      <c r="C148" s="38" t="s">
        <v>932</v>
      </c>
      <c r="D148" s="38">
        <v>60.0</v>
      </c>
      <c r="E148" s="38">
        <v>10.0</v>
      </c>
      <c r="F148" s="38">
        <v>10.0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8">
        <v>147.0</v>
      </c>
      <c r="B149" s="39" t="s">
        <v>833</v>
      </c>
      <c r="C149" s="38" t="s">
        <v>933</v>
      </c>
      <c r="D149" s="38">
        <v>60.0</v>
      </c>
      <c r="E149" s="38">
        <v>4.0</v>
      </c>
      <c r="F149" s="38">
        <v>2.0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38">
        <v>148.0</v>
      </c>
      <c r="B150" s="39" t="s">
        <v>840</v>
      </c>
      <c r="C150" s="38" t="s">
        <v>934</v>
      </c>
      <c r="D150" s="38">
        <v>55.0</v>
      </c>
      <c r="E150" s="38">
        <v>15.0</v>
      </c>
      <c r="F150" s="38">
        <v>13.0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38">
        <v>149.0</v>
      </c>
      <c r="B151" s="39" t="s">
        <v>498</v>
      </c>
      <c r="C151" s="38" t="s">
        <v>934</v>
      </c>
      <c r="D151" s="38">
        <v>55.0</v>
      </c>
      <c r="E151" s="38">
        <v>3.0</v>
      </c>
      <c r="F151" s="38">
        <v>2.0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38">
        <v>150.0</v>
      </c>
      <c r="B152" s="39" t="s">
        <v>74</v>
      </c>
      <c r="C152" s="38" t="s">
        <v>934</v>
      </c>
      <c r="D152" s="38">
        <v>55.0</v>
      </c>
      <c r="E152" s="38">
        <v>31.0</v>
      </c>
      <c r="F152" s="38">
        <v>3.0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8">
        <v>151.0</v>
      </c>
      <c r="B153" s="39" t="s">
        <v>562</v>
      </c>
      <c r="C153" s="38" t="s">
        <v>934</v>
      </c>
      <c r="D153" s="38">
        <v>54.0</v>
      </c>
      <c r="E153" s="38">
        <v>2.0</v>
      </c>
      <c r="F153" s="38">
        <v>2.0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8">
        <v>152.0</v>
      </c>
      <c r="B154" s="39" t="s">
        <v>563</v>
      </c>
      <c r="C154" s="38" t="s">
        <v>935</v>
      </c>
      <c r="D154" s="38">
        <v>51.0</v>
      </c>
      <c r="E154" s="38">
        <v>2.0</v>
      </c>
      <c r="F154" s="38">
        <v>2.0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8">
        <v>153.0</v>
      </c>
      <c r="B155" s="39" t="s">
        <v>846</v>
      </c>
      <c r="C155" s="38" t="s">
        <v>936</v>
      </c>
      <c r="D155" s="38">
        <v>47.0</v>
      </c>
      <c r="E155" s="38">
        <v>4.0</v>
      </c>
      <c r="F155" s="38">
        <v>4.0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8">
        <v>154.0</v>
      </c>
      <c r="B156" s="39" t="s">
        <v>199</v>
      </c>
      <c r="C156" s="38" t="s">
        <v>936</v>
      </c>
      <c r="D156" s="38">
        <v>47.0</v>
      </c>
      <c r="E156" s="38">
        <v>2.0</v>
      </c>
      <c r="F156" s="38">
        <v>2.0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38">
        <v>155.0</v>
      </c>
      <c r="B157" s="39" t="s">
        <v>116</v>
      </c>
      <c r="C157" s="38" t="s">
        <v>936</v>
      </c>
      <c r="D157" s="38">
        <v>47.0</v>
      </c>
      <c r="E157" s="38">
        <v>6.0</v>
      </c>
      <c r="F157" s="38">
        <v>4.0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38">
        <v>156.0</v>
      </c>
      <c r="B158" s="39" t="s">
        <v>335</v>
      </c>
      <c r="C158" s="38" t="s">
        <v>937</v>
      </c>
      <c r="D158" s="38">
        <v>45.0</v>
      </c>
      <c r="E158" s="38">
        <v>2.0</v>
      </c>
      <c r="F158" s="38">
        <v>2.0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38">
        <v>157.0</v>
      </c>
      <c r="B159" s="39" t="s">
        <v>300</v>
      </c>
      <c r="C159" s="38" t="s">
        <v>938</v>
      </c>
      <c r="D159" s="38">
        <v>44.0</v>
      </c>
      <c r="E159" s="38">
        <v>2.0</v>
      </c>
      <c r="F159" s="38">
        <v>2.0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38">
        <v>158.0</v>
      </c>
      <c r="B160" s="39" t="s">
        <v>156</v>
      </c>
      <c r="C160" s="38" t="s">
        <v>938</v>
      </c>
      <c r="D160" s="38">
        <v>43.0</v>
      </c>
      <c r="E160" s="38">
        <v>4.0</v>
      </c>
      <c r="F160" s="38">
        <v>3.0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38">
        <v>159.0</v>
      </c>
      <c r="B161" s="39" t="s">
        <v>290</v>
      </c>
      <c r="C161" s="38" t="s">
        <v>938</v>
      </c>
      <c r="D161" s="38">
        <v>43.0</v>
      </c>
      <c r="E161" s="38">
        <v>2.0</v>
      </c>
      <c r="F161" s="38">
        <v>2.0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38">
        <v>160.0</v>
      </c>
      <c r="B162" s="39" t="s">
        <v>381</v>
      </c>
      <c r="C162" s="38" t="s">
        <v>939</v>
      </c>
      <c r="D162" s="38">
        <v>43.0</v>
      </c>
      <c r="E162" s="38">
        <v>2.0</v>
      </c>
      <c r="F162" s="38">
        <v>2.0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38">
        <v>161.0</v>
      </c>
      <c r="B163" s="39" t="s">
        <v>197</v>
      </c>
      <c r="C163" s="38" t="s">
        <v>939</v>
      </c>
      <c r="D163" s="38">
        <v>42.0</v>
      </c>
      <c r="E163" s="38">
        <v>2.0</v>
      </c>
      <c r="F163" s="38">
        <v>2.0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38">
        <v>162.0</v>
      </c>
      <c r="B164" s="39" t="s">
        <v>161</v>
      </c>
      <c r="C164" s="38" t="s">
        <v>940</v>
      </c>
      <c r="D164" s="38">
        <v>42.0</v>
      </c>
      <c r="E164" s="38">
        <v>8.0</v>
      </c>
      <c r="F164" s="38">
        <v>8.0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38">
        <v>163.0</v>
      </c>
      <c r="B165" s="39" t="s">
        <v>58</v>
      </c>
      <c r="C165" s="38" t="s">
        <v>940</v>
      </c>
      <c r="D165" s="38">
        <v>42.0</v>
      </c>
      <c r="E165" s="38">
        <v>6.0</v>
      </c>
      <c r="F165" s="38">
        <v>6.0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8">
        <v>164.0</v>
      </c>
      <c r="B166" s="39" t="s">
        <v>354</v>
      </c>
      <c r="C166" s="38" t="s">
        <v>940</v>
      </c>
      <c r="D166" s="38">
        <v>41.0</v>
      </c>
      <c r="E166" s="38">
        <v>2.0</v>
      </c>
      <c r="F166" s="38">
        <v>2.0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8">
        <v>165.0</v>
      </c>
      <c r="B167" s="39" t="s">
        <v>139</v>
      </c>
      <c r="C167" s="38" t="s">
        <v>940</v>
      </c>
      <c r="D167" s="38">
        <v>41.0</v>
      </c>
      <c r="E167" s="38">
        <v>4.0</v>
      </c>
      <c r="F167" s="38">
        <v>4.0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38">
        <v>166.0</v>
      </c>
      <c r="B168" s="39" t="s">
        <v>856</v>
      </c>
      <c r="C168" s="38" t="s">
        <v>941</v>
      </c>
      <c r="D168" s="38">
        <v>40.0</v>
      </c>
      <c r="E168" s="38">
        <v>8.0</v>
      </c>
      <c r="F168" s="38">
        <v>6.0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38">
        <v>167.0</v>
      </c>
      <c r="B169" s="39" t="s">
        <v>147</v>
      </c>
      <c r="C169" s="38" t="s">
        <v>941</v>
      </c>
      <c r="D169" s="38">
        <v>39.0</v>
      </c>
      <c r="E169" s="38">
        <v>4.0</v>
      </c>
      <c r="F169" s="38">
        <v>4.0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38">
        <v>168.0</v>
      </c>
      <c r="B170" s="39" t="s">
        <v>146</v>
      </c>
      <c r="C170" s="38" t="s">
        <v>941</v>
      </c>
      <c r="D170" s="38">
        <v>39.0</v>
      </c>
      <c r="E170" s="38">
        <v>2.0</v>
      </c>
      <c r="F170" s="38">
        <v>2.0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38">
        <v>169.0</v>
      </c>
      <c r="B171" s="39" t="s">
        <v>216</v>
      </c>
      <c r="C171" s="38" t="s">
        <v>942</v>
      </c>
      <c r="D171" s="38">
        <v>39.0</v>
      </c>
      <c r="E171" s="38">
        <v>2.0</v>
      </c>
      <c r="F171" s="38">
        <v>2.0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8">
        <v>170.0</v>
      </c>
      <c r="B172" s="39" t="s">
        <v>214</v>
      </c>
      <c r="C172" s="38" t="s">
        <v>941</v>
      </c>
      <c r="D172" s="38">
        <v>39.0</v>
      </c>
      <c r="E172" s="38">
        <v>2.0</v>
      </c>
      <c r="F172" s="38">
        <v>2.0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8">
        <v>171.0</v>
      </c>
      <c r="B173" s="39" t="s">
        <v>725</v>
      </c>
      <c r="C173" s="38" t="s">
        <v>943</v>
      </c>
      <c r="D173" s="38">
        <v>37.0</v>
      </c>
      <c r="E173" s="38">
        <v>2.0</v>
      </c>
      <c r="F173" s="38">
        <v>2.0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38">
        <v>172.0</v>
      </c>
      <c r="B174" s="39" t="s">
        <v>183</v>
      </c>
      <c r="C174" s="38" t="s">
        <v>944</v>
      </c>
      <c r="D174" s="38">
        <v>37.0</v>
      </c>
      <c r="E174" s="38">
        <v>4.0</v>
      </c>
      <c r="F174" s="38">
        <v>4.0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38">
        <v>173.0</v>
      </c>
      <c r="B175" s="39" t="s">
        <v>175</v>
      </c>
      <c r="C175" s="38" t="s">
        <v>944</v>
      </c>
      <c r="D175" s="38">
        <v>36.0</v>
      </c>
      <c r="E175" s="38">
        <v>2.0</v>
      </c>
      <c r="F175" s="38">
        <v>2.0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38">
        <v>174.0</v>
      </c>
      <c r="B176" s="39" t="s">
        <v>229</v>
      </c>
      <c r="C176" s="38" t="s">
        <v>945</v>
      </c>
      <c r="D176" s="38">
        <v>36.0</v>
      </c>
      <c r="E176" s="38">
        <v>2.0</v>
      </c>
      <c r="F176" s="38">
        <v>2.0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38">
        <v>175.0</v>
      </c>
      <c r="B177" s="39" t="s">
        <v>265</v>
      </c>
      <c r="C177" s="38" t="s">
        <v>945</v>
      </c>
      <c r="D177" s="38">
        <v>35.0</v>
      </c>
      <c r="E177" s="38">
        <v>2.0</v>
      </c>
      <c r="F177" s="38">
        <v>2.0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8">
        <v>176.0</v>
      </c>
      <c r="B178" s="39" t="s">
        <v>720</v>
      </c>
      <c r="C178" s="38" t="s">
        <v>945</v>
      </c>
      <c r="D178" s="38">
        <v>35.0</v>
      </c>
      <c r="E178" s="38">
        <v>2.0</v>
      </c>
      <c r="F178" s="38">
        <v>2.0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38">
        <v>177.0</v>
      </c>
      <c r="B179" s="39" t="s">
        <v>421</v>
      </c>
      <c r="C179" s="38" t="s">
        <v>945</v>
      </c>
      <c r="D179" s="38">
        <v>35.0</v>
      </c>
      <c r="E179" s="38">
        <v>2.0</v>
      </c>
      <c r="F179" s="38">
        <v>2.0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38">
        <v>178.0</v>
      </c>
      <c r="B180" s="39" t="s">
        <v>297</v>
      </c>
      <c r="C180" s="38" t="s">
        <v>945</v>
      </c>
      <c r="D180" s="38">
        <v>35.0</v>
      </c>
      <c r="E180" s="38">
        <v>2.0</v>
      </c>
      <c r="F180" s="38">
        <v>2.0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38">
        <v>179.0</v>
      </c>
      <c r="B181" s="39" t="s">
        <v>241</v>
      </c>
      <c r="C181" s="38" t="s">
        <v>946</v>
      </c>
      <c r="D181" s="38">
        <v>35.0</v>
      </c>
      <c r="E181" s="38">
        <v>2.0</v>
      </c>
      <c r="F181" s="38">
        <v>2.0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38">
        <v>180.0</v>
      </c>
      <c r="B182" s="39" t="s">
        <v>159</v>
      </c>
      <c r="C182" s="38" t="s">
        <v>946</v>
      </c>
      <c r="D182" s="38">
        <v>35.0</v>
      </c>
      <c r="E182" s="38">
        <v>4.0</v>
      </c>
      <c r="F182" s="38">
        <v>4.0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38">
        <v>181.0</v>
      </c>
      <c r="B183" s="39" t="s">
        <v>592</v>
      </c>
      <c r="C183" s="38" t="s">
        <v>947</v>
      </c>
      <c r="D183" s="38">
        <v>34.0</v>
      </c>
      <c r="E183" s="38">
        <v>2.0</v>
      </c>
      <c r="F183" s="38">
        <v>2.0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38">
        <v>182.0</v>
      </c>
      <c r="B184" s="39" t="s">
        <v>240</v>
      </c>
      <c r="C184" s="38" t="s">
        <v>947</v>
      </c>
      <c r="D184" s="38">
        <v>34.0</v>
      </c>
      <c r="E184" s="38">
        <v>2.0</v>
      </c>
      <c r="F184" s="38">
        <v>2.0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38">
        <v>183.0</v>
      </c>
      <c r="B185" s="39" t="s">
        <v>217</v>
      </c>
      <c r="C185" s="38" t="s">
        <v>947</v>
      </c>
      <c r="D185" s="38">
        <v>34.0</v>
      </c>
      <c r="E185" s="38">
        <v>2.0</v>
      </c>
      <c r="F185" s="38">
        <v>2.0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38">
        <v>184.0</v>
      </c>
      <c r="B186" s="39" t="s">
        <v>171</v>
      </c>
      <c r="C186" s="38" t="s">
        <v>946</v>
      </c>
      <c r="D186" s="38">
        <v>34.0</v>
      </c>
      <c r="E186" s="38">
        <v>2.0</v>
      </c>
      <c r="F186" s="38">
        <v>2.0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38">
        <v>185.0</v>
      </c>
      <c r="B187" s="39" t="s">
        <v>215</v>
      </c>
      <c r="C187" s="38" t="s">
        <v>947</v>
      </c>
      <c r="D187" s="38">
        <v>33.0</v>
      </c>
      <c r="E187" s="38">
        <v>2.0</v>
      </c>
      <c r="F187" s="38">
        <v>2.0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38">
        <v>186.0</v>
      </c>
      <c r="B188" s="39" t="s">
        <v>231</v>
      </c>
      <c r="C188" s="38" t="s">
        <v>947</v>
      </c>
      <c r="D188" s="38">
        <v>33.0</v>
      </c>
      <c r="E188" s="38">
        <v>2.0</v>
      </c>
      <c r="F188" s="38">
        <v>2.0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38">
        <v>187.0</v>
      </c>
      <c r="B189" s="39" t="s">
        <v>234</v>
      </c>
      <c r="C189" s="38" t="s">
        <v>947</v>
      </c>
      <c r="D189" s="38">
        <v>33.0</v>
      </c>
      <c r="E189" s="38">
        <v>2.0</v>
      </c>
      <c r="F189" s="38">
        <v>2.0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8">
        <v>188.0</v>
      </c>
      <c r="B190" s="39" t="s">
        <v>329</v>
      </c>
      <c r="C190" s="38" t="s">
        <v>948</v>
      </c>
      <c r="D190" s="38">
        <v>32.0</v>
      </c>
      <c r="E190" s="38">
        <v>2.0</v>
      </c>
      <c r="F190" s="38">
        <v>2.0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38">
        <v>189.0</v>
      </c>
      <c r="B191" s="39" t="s">
        <v>44</v>
      </c>
      <c r="C191" s="38" t="s">
        <v>949</v>
      </c>
      <c r="D191" s="38">
        <v>31.0</v>
      </c>
      <c r="E191" s="38">
        <v>84.0</v>
      </c>
      <c r="F191" s="38">
        <v>13.0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38">
        <v>190.0</v>
      </c>
      <c r="B192" s="39" t="s">
        <v>188</v>
      </c>
      <c r="C192" s="38" t="s">
        <v>949</v>
      </c>
      <c r="D192" s="38">
        <v>31.0</v>
      </c>
      <c r="E192" s="38">
        <v>17.0</v>
      </c>
      <c r="F192" s="38">
        <v>6.0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38">
        <v>191.0</v>
      </c>
      <c r="B193" s="39" t="s">
        <v>63</v>
      </c>
      <c r="C193" s="38" t="s">
        <v>949</v>
      </c>
      <c r="D193" s="38">
        <v>31.0</v>
      </c>
      <c r="E193" s="38">
        <v>66.0</v>
      </c>
      <c r="F193" s="38">
        <v>15.0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38">
        <v>192.0</v>
      </c>
      <c r="B194" s="39" t="s">
        <v>301</v>
      </c>
      <c r="C194" s="38" t="s">
        <v>949</v>
      </c>
      <c r="D194" s="38">
        <v>31.0</v>
      </c>
      <c r="E194" s="38">
        <v>23.0</v>
      </c>
      <c r="F194" s="38">
        <v>4.0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38">
        <v>193.0</v>
      </c>
      <c r="B195" s="39" t="s">
        <v>129</v>
      </c>
      <c r="C195" s="38" t="s">
        <v>950</v>
      </c>
      <c r="D195" s="38">
        <v>28.0</v>
      </c>
      <c r="E195" s="38">
        <v>3.0</v>
      </c>
      <c r="F195" s="38">
        <v>2.0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8">
        <v>194.0</v>
      </c>
      <c r="B196" s="39" t="s">
        <v>857</v>
      </c>
      <c r="C196" s="38" t="s">
        <v>950</v>
      </c>
      <c r="D196" s="38">
        <v>28.0</v>
      </c>
      <c r="E196" s="38">
        <v>15.0</v>
      </c>
      <c r="F196" s="38">
        <v>13.0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38">
        <v>195.0</v>
      </c>
      <c r="B197" s="39" t="s">
        <v>861</v>
      </c>
      <c r="C197" s="38" t="s">
        <v>950</v>
      </c>
      <c r="D197" s="38">
        <v>28.0</v>
      </c>
      <c r="E197" s="38">
        <v>24.0</v>
      </c>
      <c r="F197" s="38">
        <v>8.0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8">
        <v>196.0</v>
      </c>
      <c r="B198" s="39" t="s">
        <v>845</v>
      </c>
      <c r="C198" s="38" t="s">
        <v>950</v>
      </c>
      <c r="D198" s="38">
        <v>28.0</v>
      </c>
      <c r="E198" s="38">
        <v>3.0</v>
      </c>
      <c r="F198" s="38">
        <v>3.0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8">
        <v>197.0</v>
      </c>
      <c r="B199" s="39" t="s">
        <v>46</v>
      </c>
      <c r="C199" s="38" t="s">
        <v>950</v>
      </c>
      <c r="D199" s="38">
        <v>28.0</v>
      </c>
      <c r="E199" s="38">
        <v>86.0</v>
      </c>
      <c r="F199" s="38">
        <v>20.0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8">
        <v>198.0</v>
      </c>
      <c r="B200" s="39" t="s">
        <v>73</v>
      </c>
      <c r="C200" s="38" t="s">
        <v>951</v>
      </c>
      <c r="D200" s="38">
        <v>27.0</v>
      </c>
      <c r="E200" s="38">
        <v>21.0</v>
      </c>
      <c r="F200" s="38">
        <v>10.0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38">
        <v>199.0</v>
      </c>
      <c r="B201" s="39" t="s">
        <v>89</v>
      </c>
      <c r="C201" s="38" t="s">
        <v>951</v>
      </c>
      <c r="D201" s="38">
        <v>27.0</v>
      </c>
      <c r="E201" s="38">
        <v>12.0</v>
      </c>
      <c r="F201" s="38">
        <v>11.0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8">
        <v>200.0</v>
      </c>
      <c r="B202" s="39" t="s">
        <v>45</v>
      </c>
      <c r="C202" s="38" t="s">
        <v>951</v>
      </c>
      <c r="D202" s="38">
        <v>27.0</v>
      </c>
      <c r="E202" s="38">
        <v>382.0</v>
      </c>
      <c r="F202" s="38">
        <v>71.0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38">
        <v>201.0</v>
      </c>
      <c r="B203" s="39" t="s">
        <v>67</v>
      </c>
      <c r="C203" s="38" t="s">
        <v>952</v>
      </c>
      <c r="D203" s="38">
        <v>24.0</v>
      </c>
      <c r="E203" s="38">
        <v>48.0</v>
      </c>
      <c r="F203" s="38">
        <v>26.0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8">
        <v>202.0</v>
      </c>
      <c r="B204" s="39" t="s">
        <v>195</v>
      </c>
      <c r="C204" s="38" t="s">
        <v>953</v>
      </c>
      <c r="D204" s="38">
        <v>24.0</v>
      </c>
      <c r="E204" s="38">
        <v>2.0</v>
      </c>
      <c r="F204" s="38">
        <v>2.0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38">
        <v>203.0</v>
      </c>
      <c r="B205" s="39" t="s">
        <v>202</v>
      </c>
      <c r="C205" s="38" t="s">
        <v>953</v>
      </c>
      <c r="D205" s="38">
        <v>24.0</v>
      </c>
      <c r="E205" s="38">
        <v>2.0</v>
      </c>
      <c r="F205" s="38">
        <v>1.0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38">
        <v>204.0</v>
      </c>
      <c r="B206" s="39" t="s">
        <v>114</v>
      </c>
      <c r="C206" s="38" t="s">
        <v>954</v>
      </c>
      <c r="D206" s="38">
        <v>22.0</v>
      </c>
      <c r="E206" s="38">
        <v>20.0</v>
      </c>
      <c r="F206" s="38">
        <v>16.0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8">
        <v>205.0</v>
      </c>
      <c r="B207" s="39" t="s">
        <v>198</v>
      </c>
      <c r="C207" s="38" t="s">
        <v>955</v>
      </c>
      <c r="D207" s="38">
        <v>19.0</v>
      </c>
      <c r="E207" s="38">
        <v>2.0</v>
      </c>
      <c r="F207" s="38">
        <v>2.0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8">
        <v>206.0</v>
      </c>
      <c r="B208" s="39" t="s">
        <v>340</v>
      </c>
      <c r="C208" s="38" t="s">
        <v>956</v>
      </c>
      <c r="D208" s="38">
        <v>18.0</v>
      </c>
      <c r="E208" s="38">
        <v>3.0</v>
      </c>
      <c r="F208" s="38">
        <v>3.0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8">
        <v>207.0</v>
      </c>
      <c r="B209" s="39" t="s">
        <v>176</v>
      </c>
      <c r="C209" s="38" t="s">
        <v>956</v>
      </c>
      <c r="D209" s="38">
        <v>18.0</v>
      </c>
      <c r="E209" s="38">
        <v>3.0</v>
      </c>
      <c r="F209" s="38">
        <v>2.0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8">
        <v>208.0</v>
      </c>
      <c r="B210" s="39" t="s">
        <v>219</v>
      </c>
      <c r="C210" s="38" t="s">
        <v>957</v>
      </c>
      <c r="D210" s="38">
        <v>17.0</v>
      </c>
      <c r="E210" s="38">
        <v>2.0</v>
      </c>
      <c r="F210" s="38">
        <v>1.0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8">
        <v>209.0</v>
      </c>
      <c r="B211" s="39" t="s">
        <v>103</v>
      </c>
      <c r="C211" s="38" t="s">
        <v>957</v>
      </c>
      <c r="D211" s="38">
        <v>17.0</v>
      </c>
      <c r="E211" s="38">
        <v>5.0</v>
      </c>
      <c r="F211" s="38">
        <v>4.0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8">
        <v>210.0</v>
      </c>
      <c r="B212" s="39" t="s">
        <v>848</v>
      </c>
      <c r="C212" s="38" t="s">
        <v>957</v>
      </c>
      <c r="D212" s="38">
        <v>17.0</v>
      </c>
      <c r="E212" s="38">
        <v>50.0</v>
      </c>
      <c r="F212" s="38">
        <v>31.0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8">
        <v>211.0</v>
      </c>
      <c r="B213" s="39" t="s">
        <v>182</v>
      </c>
      <c r="C213" s="38" t="s">
        <v>957</v>
      </c>
      <c r="D213" s="38">
        <v>17.0</v>
      </c>
      <c r="E213" s="38">
        <v>3.0</v>
      </c>
      <c r="F213" s="38">
        <v>3.0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8">
        <v>212.0</v>
      </c>
      <c r="B214" s="39" t="s">
        <v>68</v>
      </c>
      <c r="C214" s="38" t="s">
        <v>957</v>
      </c>
      <c r="D214" s="38">
        <v>16.0</v>
      </c>
      <c r="E214" s="38">
        <v>22.0</v>
      </c>
      <c r="F214" s="38">
        <v>16.0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8">
        <v>213.0</v>
      </c>
      <c r="B215" s="39" t="s">
        <v>109</v>
      </c>
      <c r="C215" s="38" t="s">
        <v>957</v>
      </c>
      <c r="D215" s="38">
        <v>16.0</v>
      </c>
      <c r="E215" s="38">
        <v>4.0</v>
      </c>
      <c r="F215" s="38">
        <v>4.0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8">
        <v>214.0</v>
      </c>
      <c r="B216" s="39" t="s">
        <v>746</v>
      </c>
      <c r="C216" s="38" t="s">
        <v>958</v>
      </c>
      <c r="D216" s="38">
        <v>15.0</v>
      </c>
      <c r="E216" s="38">
        <v>2.0</v>
      </c>
      <c r="F216" s="38">
        <v>2.0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8">
        <v>215.0</v>
      </c>
      <c r="B217" s="39" t="s">
        <v>819</v>
      </c>
      <c r="C217" s="38" t="s">
        <v>958</v>
      </c>
      <c r="D217" s="38">
        <v>15.0</v>
      </c>
      <c r="E217" s="38">
        <v>2.0</v>
      </c>
      <c r="F217" s="38">
        <v>2.0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38">
        <v>216.0</v>
      </c>
      <c r="B218" s="39" t="s">
        <v>131</v>
      </c>
      <c r="C218" s="38" t="s">
        <v>959</v>
      </c>
      <c r="D218" s="38">
        <v>14.0</v>
      </c>
      <c r="E218" s="38">
        <v>4.0</v>
      </c>
      <c r="F218" s="38">
        <v>4.0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38">
        <v>217.0</v>
      </c>
      <c r="B219" s="39" t="s">
        <v>79</v>
      </c>
      <c r="C219" s="38" t="s">
        <v>959</v>
      </c>
      <c r="D219" s="38">
        <v>14.0</v>
      </c>
      <c r="E219" s="38">
        <v>16.0</v>
      </c>
      <c r="F219" s="38">
        <v>5.0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38">
        <v>218.0</v>
      </c>
      <c r="B220" s="39" t="s">
        <v>121</v>
      </c>
      <c r="C220" s="38" t="s">
        <v>959</v>
      </c>
      <c r="D220" s="38">
        <v>14.0</v>
      </c>
      <c r="E220" s="38">
        <v>6.0</v>
      </c>
      <c r="F220" s="38">
        <v>3.0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38">
        <v>219.0</v>
      </c>
      <c r="B221" s="39" t="s">
        <v>51</v>
      </c>
      <c r="C221" s="38" t="s">
        <v>960</v>
      </c>
      <c r="D221" s="38">
        <v>13.0</v>
      </c>
      <c r="E221" s="38">
        <v>76.0</v>
      </c>
      <c r="F221" s="38">
        <v>33.0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38">
        <v>220.0</v>
      </c>
      <c r="B222" s="39" t="s">
        <v>77</v>
      </c>
      <c r="C222" s="38" t="s">
        <v>960</v>
      </c>
      <c r="D222" s="38">
        <v>13.0</v>
      </c>
      <c r="E222" s="38">
        <v>25.0</v>
      </c>
      <c r="F222" s="38">
        <v>18.0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38">
        <v>221.0</v>
      </c>
      <c r="B223" s="39" t="s">
        <v>268</v>
      </c>
      <c r="C223" s="38" t="s">
        <v>961</v>
      </c>
      <c r="D223" s="38">
        <v>12.0</v>
      </c>
      <c r="E223" s="38">
        <v>3.0</v>
      </c>
      <c r="F223" s="38">
        <v>3.0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38">
        <v>222.0</v>
      </c>
      <c r="B224" s="39" t="s">
        <v>153</v>
      </c>
      <c r="C224" s="38" t="s">
        <v>961</v>
      </c>
      <c r="D224" s="38">
        <v>12.0</v>
      </c>
      <c r="E224" s="38">
        <v>3.0</v>
      </c>
      <c r="F224" s="38">
        <v>3.0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38">
        <v>223.0</v>
      </c>
      <c r="B225" s="39" t="s">
        <v>227</v>
      </c>
      <c r="C225" s="38" t="s">
        <v>960</v>
      </c>
      <c r="D225" s="38">
        <v>12.0</v>
      </c>
      <c r="E225" s="38">
        <v>2.0</v>
      </c>
      <c r="F225" s="38">
        <v>2.0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8">
        <v>224.0</v>
      </c>
      <c r="B226" s="39" t="s">
        <v>163</v>
      </c>
      <c r="C226" s="38" t="s">
        <v>961</v>
      </c>
      <c r="D226" s="38">
        <v>12.0</v>
      </c>
      <c r="E226" s="38">
        <v>3.0</v>
      </c>
      <c r="F226" s="38">
        <v>2.0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8">
        <v>225.0</v>
      </c>
      <c r="B227" s="39" t="s">
        <v>113</v>
      </c>
      <c r="C227" s="38" t="s">
        <v>960</v>
      </c>
      <c r="D227" s="38">
        <v>12.0</v>
      </c>
      <c r="E227" s="38">
        <v>6.0</v>
      </c>
      <c r="F227" s="38">
        <v>5.0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38">
        <v>226.0</v>
      </c>
      <c r="B228" s="39" t="s">
        <v>304</v>
      </c>
      <c r="C228" s="38" t="s">
        <v>962</v>
      </c>
      <c r="D228" s="38">
        <v>11.0</v>
      </c>
      <c r="E228" s="38">
        <v>2.0</v>
      </c>
      <c r="F228" s="38">
        <v>1.0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8">
        <v>227.0</v>
      </c>
      <c r="B229" s="39" t="s">
        <v>137</v>
      </c>
      <c r="C229" s="38" t="s">
        <v>962</v>
      </c>
      <c r="D229" s="38">
        <v>11.0</v>
      </c>
      <c r="E229" s="38">
        <v>3.0</v>
      </c>
      <c r="F229" s="38">
        <v>3.0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38">
        <v>228.0</v>
      </c>
      <c r="B230" s="39" t="s">
        <v>246</v>
      </c>
      <c r="C230" s="38" t="s">
        <v>962</v>
      </c>
      <c r="D230" s="38">
        <v>11.0</v>
      </c>
      <c r="E230" s="38">
        <v>2.0</v>
      </c>
      <c r="F230" s="38">
        <v>1.0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38">
        <v>229.0</v>
      </c>
      <c r="B231" s="39" t="s">
        <v>136</v>
      </c>
      <c r="C231" s="38" t="s">
        <v>962</v>
      </c>
      <c r="D231" s="38">
        <v>11.0</v>
      </c>
      <c r="E231" s="38">
        <v>5.0</v>
      </c>
      <c r="F231" s="38">
        <v>4.0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38">
        <v>230.0</v>
      </c>
      <c r="B232" s="39" t="s">
        <v>167</v>
      </c>
      <c r="C232" s="38" t="s">
        <v>962</v>
      </c>
      <c r="D232" s="38">
        <v>11.0</v>
      </c>
      <c r="E232" s="38">
        <v>3.0</v>
      </c>
      <c r="F232" s="38">
        <v>3.0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38">
        <v>231.0</v>
      </c>
      <c r="B233" s="39" t="s">
        <v>823</v>
      </c>
      <c r="C233" s="38" t="s">
        <v>962</v>
      </c>
      <c r="D233" s="38">
        <v>11.0</v>
      </c>
      <c r="E233" s="38">
        <v>2.0</v>
      </c>
      <c r="F233" s="38">
        <v>2.0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38">
        <v>232.0</v>
      </c>
      <c r="B234" s="39" t="s">
        <v>184</v>
      </c>
      <c r="C234" s="38" t="s">
        <v>962</v>
      </c>
      <c r="D234" s="38">
        <v>11.0</v>
      </c>
      <c r="E234" s="38">
        <v>5.0</v>
      </c>
      <c r="F234" s="38">
        <v>5.0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38">
        <v>233.0</v>
      </c>
      <c r="B235" s="39" t="s">
        <v>110</v>
      </c>
      <c r="C235" s="38" t="s">
        <v>962</v>
      </c>
      <c r="D235" s="38">
        <v>11.0</v>
      </c>
      <c r="E235" s="38">
        <v>6.0</v>
      </c>
      <c r="F235" s="38">
        <v>5.0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8">
        <v>234.0</v>
      </c>
      <c r="B236" s="39" t="s">
        <v>515</v>
      </c>
      <c r="C236" s="38" t="s">
        <v>963</v>
      </c>
      <c r="D236" s="38">
        <v>10.0</v>
      </c>
      <c r="E236" s="38">
        <v>4.0</v>
      </c>
      <c r="F236" s="38">
        <v>4.0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8">
        <v>235.0</v>
      </c>
      <c r="B237" s="39" t="s">
        <v>239</v>
      </c>
      <c r="C237" s="38" t="s">
        <v>963</v>
      </c>
      <c r="D237" s="38">
        <v>10.0</v>
      </c>
      <c r="E237" s="38">
        <v>2.0</v>
      </c>
      <c r="F237" s="38">
        <v>2.0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8">
        <v>236.0</v>
      </c>
      <c r="B238" s="39" t="s">
        <v>662</v>
      </c>
      <c r="C238" s="38" t="s">
        <v>963</v>
      </c>
      <c r="D238" s="38">
        <v>9.0</v>
      </c>
      <c r="E238" s="38">
        <v>28.0</v>
      </c>
      <c r="F238" s="38">
        <v>21.0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8">
        <v>237.0</v>
      </c>
      <c r="B239" s="39" t="s">
        <v>144</v>
      </c>
      <c r="C239" s="38" t="s">
        <v>964</v>
      </c>
      <c r="D239" s="38">
        <v>8.0</v>
      </c>
      <c r="E239" s="38">
        <v>3.0</v>
      </c>
      <c r="F239" s="38">
        <v>3.0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8">
        <v>238.0</v>
      </c>
      <c r="B240" s="39" t="s">
        <v>207</v>
      </c>
      <c r="C240" s="38" t="s">
        <v>964</v>
      </c>
      <c r="D240" s="38">
        <v>8.0</v>
      </c>
      <c r="E240" s="38">
        <v>2.0</v>
      </c>
      <c r="F240" s="38">
        <v>2.0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8">
        <v>239.0</v>
      </c>
      <c r="B241" s="39" t="s">
        <v>158</v>
      </c>
      <c r="C241" s="38" t="s">
        <v>965</v>
      </c>
      <c r="D241" s="38">
        <v>8.0</v>
      </c>
      <c r="E241" s="38">
        <v>4.0</v>
      </c>
      <c r="F241" s="38">
        <v>4.0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8">
        <v>240.0</v>
      </c>
      <c r="B242" s="39" t="s">
        <v>179</v>
      </c>
      <c r="C242" s="38" t="s">
        <v>966</v>
      </c>
      <c r="D242" s="38">
        <v>7.0</v>
      </c>
      <c r="E242" s="38">
        <v>3.0</v>
      </c>
      <c r="F242" s="38">
        <v>3.0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8">
        <v>241.0</v>
      </c>
      <c r="B243" s="39" t="s">
        <v>55</v>
      </c>
      <c r="C243" s="38" t="s">
        <v>966</v>
      </c>
      <c r="D243" s="38">
        <v>7.0</v>
      </c>
      <c r="E243" s="38">
        <v>69.0</v>
      </c>
      <c r="F243" s="38">
        <v>20.0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8">
        <v>242.0</v>
      </c>
      <c r="B244" s="39" t="s">
        <v>151</v>
      </c>
      <c r="C244" s="38" t="s">
        <v>966</v>
      </c>
      <c r="D244" s="38">
        <v>7.0</v>
      </c>
      <c r="E244" s="38">
        <v>3.0</v>
      </c>
      <c r="F244" s="38">
        <v>3.0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8">
        <v>243.0</v>
      </c>
      <c r="B245" s="39" t="s">
        <v>222</v>
      </c>
      <c r="C245" s="38" t="s">
        <v>966</v>
      </c>
      <c r="D245" s="38">
        <v>7.0</v>
      </c>
      <c r="E245" s="38">
        <v>3.0</v>
      </c>
      <c r="F245" s="38">
        <v>3.0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8">
        <v>244.0</v>
      </c>
      <c r="B246" s="39" t="s">
        <v>118</v>
      </c>
      <c r="C246" s="38" t="s">
        <v>966</v>
      </c>
      <c r="D246" s="38">
        <v>7.0</v>
      </c>
      <c r="E246" s="38">
        <v>4.0</v>
      </c>
      <c r="F246" s="38">
        <v>4.0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8">
        <v>245.0</v>
      </c>
      <c r="B247" s="39" t="s">
        <v>149</v>
      </c>
      <c r="C247" s="38" t="s">
        <v>966</v>
      </c>
      <c r="D247" s="38">
        <v>7.0</v>
      </c>
      <c r="E247" s="38">
        <v>4.0</v>
      </c>
      <c r="F247" s="38">
        <v>1.0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8">
        <v>246.0</v>
      </c>
      <c r="B248" s="39" t="s">
        <v>65</v>
      </c>
      <c r="C248" s="38" t="s">
        <v>966</v>
      </c>
      <c r="D248" s="38">
        <v>7.0</v>
      </c>
      <c r="E248" s="38">
        <v>186.0</v>
      </c>
      <c r="F248" s="38">
        <v>66.0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8">
        <v>247.0</v>
      </c>
      <c r="B249" s="39" t="s">
        <v>108</v>
      </c>
      <c r="C249" s="38" t="s">
        <v>966</v>
      </c>
      <c r="D249" s="38">
        <v>7.0</v>
      </c>
      <c r="E249" s="38">
        <v>9.0</v>
      </c>
      <c r="F249" s="38">
        <v>6.0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8">
        <v>248.0</v>
      </c>
      <c r="B250" s="39" t="s">
        <v>299</v>
      </c>
      <c r="C250" s="38" t="s">
        <v>964</v>
      </c>
      <c r="D250" s="38">
        <v>7.0</v>
      </c>
      <c r="E250" s="38">
        <v>2.0</v>
      </c>
      <c r="F250" s="38">
        <v>1.0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38">
        <v>249.0</v>
      </c>
      <c r="B251" s="39" t="s">
        <v>518</v>
      </c>
      <c r="C251" s="38" t="s">
        <v>966</v>
      </c>
      <c r="D251" s="38">
        <v>7.0</v>
      </c>
      <c r="E251" s="38">
        <v>3.0</v>
      </c>
      <c r="F251" s="38">
        <v>2.0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8">
        <v>250.0</v>
      </c>
      <c r="B252" s="39" t="s">
        <v>245</v>
      </c>
      <c r="C252" s="38" t="s">
        <v>966</v>
      </c>
      <c r="D252" s="38">
        <v>7.0</v>
      </c>
      <c r="E252" s="38">
        <v>2.0</v>
      </c>
      <c r="F252" s="38">
        <v>2.0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38">
        <v>251.0</v>
      </c>
      <c r="B253" s="39" t="s">
        <v>187</v>
      </c>
      <c r="C253" s="38" t="s">
        <v>966</v>
      </c>
      <c r="D253" s="38">
        <v>7.0</v>
      </c>
      <c r="E253" s="38">
        <v>3.0</v>
      </c>
      <c r="F253" s="38">
        <v>3.0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38">
        <v>252.0</v>
      </c>
      <c r="B254" s="39" t="s">
        <v>154</v>
      </c>
      <c r="C254" s="38" t="s">
        <v>967</v>
      </c>
      <c r="D254" s="38">
        <v>6.0</v>
      </c>
      <c r="E254" s="38">
        <v>3.0</v>
      </c>
      <c r="F254" s="38">
        <v>3.0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38">
        <v>253.0</v>
      </c>
      <c r="B255" s="39" t="s">
        <v>839</v>
      </c>
      <c r="C255" s="38" t="s">
        <v>967</v>
      </c>
      <c r="D255" s="38">
        <v>6.0</v>
      </c>
      <c r="E255" s="38">
        <v>13.0</v>
      </c>
      <c r="F255" s="38">
        <v>11.0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38">
        <v>254.0</v>
      </c>
      <c r="B256" s="39" t="s">
        <v>62</v>
      </c>
      <c r="C256" s="38" t="s">
        <v>967</v>
      </c>
      <c r="D256" s="38">
        <v>6.0</v>
      </c>
      <c r="E256" s="38">
        <v>4.0</v>
      </c>
      <c r="F256" s="38">
        <v>4.0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38">
        <v>255.0</v>
      </c>
      <c r="B257" s="39" t="s">
        <v>276</v>
      </c>
      <c r="C257" s="38" t="s">
        <v>966</v>
      </c>
      <c r="D257" s="38">
        <v>6.0</v>
      </c>
      <c r="E257" s="38">
        <v>2.0</v>
      </c>
      <c r="F257" s="38">
        <v>2.0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38">
        <v>256.0</v>
      </c>
      <c r="B258" s="39" t="s">
        <v>80</v>
      </c>
      <c r="C258" s="38" t="s">
        <v>966</v>
      </c>
      <c r="D258" s="38">
        <v>6.0</v>
      </c>
      <c r="E258" s="38">
        <v>20.0</v>
      </c>
      <c r="F258" s="38">
        <v>18.0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38">
        <v>257.0</v>
      </c>
      <c r="B259" s="39" t="s">
        <v>471</v>
      </c>
      <c r="C259" s="38" t="s">
        <v>966</v>
      </c>
      <c r="D259" s="38">
        <v>6.0</v>
      </c>
      <c r="E259" s="38">
        <v>2.0</v>
      </c>
      <c r="F259" s="38">
        <v>2.0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38">
        <v>258.0</v>
      </c>
      <c r="B260" s="39" t="s">
        <v>150</v>
      </c>
      <c r="C260" s="38" t="s">
        <v>966</v>
      </c>
      <c r="D260" s="38">
        <v>6.0</v>
      </c>
      <c r="E260" s="38">
        <v>6.0</v>
      </c>
      <c r="F260" s="38">
        <v>4.0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8">
        <v>259.0</v>
      </c>
      <c r="B261" s="39" t="s">
        <v>70</v>
      </c>
      <c r="C261" s="38" t="s">
        <v>967</v>
      </c>
      <c r="D261" s="38">
        <v>6.0</v>
      </c>
      <c r="E261" s="38">
        <v>29.0</v>
      </c>
      <c r="F261" s="38">
        <v>22.0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38">
        <v>260.0</v>
      </c>
      <c r="B262" s="39" t="s">
        <v>155</v>
      </c>
      <c r="C262" s="38" t="s">
        <v>967</v>
      </c>
      <c r="D262" s="38">
        <v>6.0</v>
      </c>
      <c r="E262" s="38">
        <v>12.0</v>
      </c>
      <c r="F262" s="38">
        <v>10.0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8">
        <v>261.0</v>
      </c>
      <c r="B263" s="39" t="s">
        <v>124</v>
      </c>
      <c r="C263" s="38" t="s">
        <v>967</v>
      </c>
      <c r="D263" s="38">
        <v>5.0</v>
      </c>
      <c r="E263" s="38">
        <v>4.0</v>
      </c>
      <c r="F263" s="38">
        <v>3.0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38">
        <v>262.0</v>
      </c>
      <c r="B264" s="39" t="s">
        <v>278</v>
      </c>
      <c r="C264" s="38" t="s">
        <v>968</v>
      </c>
      <c r="D264" s="38">
        <v>5.0</v>
      </c>
      <c r="E264" s="38">
        <v>2.0</v>
      </c>
      <c r="F264" s="38">
        <v>2.0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38">
        <v>263.0</v>
      </c>
      <c r="B265" s="39" t="s">
        <v>822</v>
      </c>
      <c r="C265" s="38" t="s">
        <v>968</v>
      </c>
      <c r="D265" s="38">
        <v>5.0</v>
      </c>
      <c r="E265" s="38">
        <v>5.0</v>
      </c>
      <c r="F265" s="38">
        <v>4.0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38">
        <v>264.0</v>
      </c>
      <c r="B266" s="39" t="s">
        <v>157</v>
      </c>
      <c r="C266" s="38" t="s">
        <v>968</v>
      </c>
      <c r="D266" s="38">
        <v>5.0</v>
      </c>
      <c r="E266" s="38">
        <v>3.0</v>
      </c>
      <c r="F266" s="38">
        <v>3.0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38">
        <v>265.0</v>
      </c>
      <c r="B267" s="39" t="s">
        <v>193</v>
      </c>
      <c r="C267" s="38" t="s">
        <v>968</v>
      </c>
      <c r="D267" s="38">
        <v>5.0</v>
      </c>
      <c r="E267" s="38">
        <v>2.0</v>
      </c>
      <c r="F267" s="38">
        <v>1.0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38">
        <v>266.0</v>
      </c>
      <c r="B268" s="39" t="s">
        <v>311</v>
      </c>
      <c r="C268" s="38" t="s">
        <v>967</v>
      </c>
      <c r="D268" s="38">
        <v>5.0</v>
      </c>
      <c r="E268" s="38">
        <v>2.0</v>
      </c>
      <c r="F268" s="38">
        <v>2.0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38">
        <v>267.0</v>
      </c>
      <c r="B269" s="39" t="s">
        <v>128</v>
      </c>
      <c r="C269" s="38" t="s">
        <v>968</v>
      </c>
      <c r="D269" s="38">
        <v>5.0</v>
      </c>
      <c r="E269" s="38">
        <v>3.0</v>
      </c>
      <c r="F269" s="38">
        <v>3.0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38">
        <v>268.0</v>
      </c>
      <c r="B270" s="39" t="s">
        <v>82</v>
      </c>
      <c r="C270" s="38" t="s">
        <v>968</v>
      </c>
      <c r="D270" s="38">
        <v>5.0</v>
      </c>
      <c r="E270" s="38">
        <v>12.0</v>
      </c>
      <c r="F270" s="38">
        <v>7.0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38">
        <v>269.0</v>
      </c>
      <c r="B271" s="39" t="s">
        <v>322</v>
      </c>
      <c r="C271" s="38" t="s">
        <v>968</v>
      </c>
      <c r="D271" s="38">
        <v>5.0</v>
      </c>
      <c r="E271" s="38">
        <v>3.0</v>
      </c>
      <c r="F271" s="38">
        <v>3.0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38">
        <v>270.0</v>
      </c>
      <c r="B272" s="39" t="s">
        <v>346</v>
      </c>
      <c r="C272" s="38" t="s">
        <v>968</v>
      </c>
      <c r="D272" s="38">
        <v>5.0</v>
      </c>
      <c r="E272" s="38">
        <v>7.0</v>
      </c>
      <c r="F272" s="38">
        <v>5.0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38">
        <v>271.0</v>
      </c>
      <c r="B273" s="39" t="s">
        <v>145</v>
      </c>
      <c r="C273" s="38" t="s">
        <v>968</v>
      </c>
      <c r="D273" s="38">
        <v>5.0</v>
      </c>
      <c r="E273" s="38">
        <v>3.0</v>
      </c>
      <c r="F273" s="38">
        <v>3.0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38">
        <v>272.0</v>
      </c>
      <c r="B274" s="39" t="s">
        <v>223</v>
      </c>
      <c r="C274" s="38" t="s">
        <v>968</v>
      </c>
      <c r="D274" s="38">
        <v>5.0</v>
      </c>
      <c r="E274" s="38">
        <v>3.0</v>
      </c>
      <c r="F274" s="38">
        <v>3.0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38">
        <v>273.0</v>
      </c>
      <c r="B275" s="39" t="s">
        <v>173</v>
      </c>
      <c r="C275" s="38" t="s">
        <v>968</v>
      </c>
      <c r="D275" s="38">
        <v>5.0</v>
      </c>
      <c r="E275" s="38">
        <v>3.0</v>
      </c>
      <c r="F275" s="38">
        <v>3.0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38">
        <v>274.0</v>
      </c>
      <c r="B276" s="39" t="s">
        <v>221</v>
      </c>
      <c r="C276" s="38" t="s">
        <v>968</v>
      </c>
      <c r="D276" s="38">
        <v>5.0</v>
      </c>
      <c r="E276" s="38">
        <v>4.0</v>
      </c>
      <c r="F276" s="38">
        <v>4.0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38">
        <v>275.0</v>
      </c>
      <c r="B277" s="39" t="s">
        <v>86</v>
      </c>
      <c r="C277" s="38" t="s">
        <v>967</v>
      </c>
      <c r="D277" s="38">
        <v>5.0</v>
      </c>
      <c r="E277" s="38">
        <v>10.0</v>
      </c>
      <c r="F277" s="38">
        <v>7.0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38">
        <v>276.0</v>
      </c>
      <c r="B278" s="39" t="s">
        <v>850</v>
      </c>
      <c r="C278" s="38" t="s">
        <v>968</v>
      </c>
      <c r="D278" s="38">
        <v>5.0</v>
      </c>
      <c r="E278" s="38">
        <v>5.0</v>
      </c>
      <c r="F278" s="38">
        <v>2.0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38">
        <v>277.0</v>
      </c>
      <c r="B279" s="39" t="s">
        <v>117</v>
      </c>
      <c r="C279" s="38" t="s">
        <v>968</v>
      </c>
      <c r="D279" s="38">
        <v>5.0</v>
      </c>
      <c r="E279" s="38">
        <v>3.0</v>
      </c>
      <c r="F279" s="38">
        <v>2.0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38">
        <v>278.0</v>
      </c>
      <c r="B280" s="39" t="s">
        <v>47</v>
      </c>
      <c r="C280" s="38" t="s">
        <v>968</v>
      </c>
      <c r="D280" s="38">
        <v>5.0</v>
      </c>
      <c r="E280" s="38">
        <v>77.0</v>
      </c>
      <c r="F280" s="38">
        <v>19.0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38">
        <v>279.0</v>
      </c>
      <c r="B281" s="39" t="s">
        <v>59</v>
      </c>
      <c r="C281" s="38" t="s">
        <v>968</v>
      </c>
      <c r="D281" s="38">
        <v>5.0</v>
      </c>
      <c r="E281" s="38">
        <v>43.0</v>
      </c>
      <c r="F281" s="38">
        <v>25.0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8">
        <v>280.0</v>
      </c>
      <c r="B282" s="39" t="s">
        <v>48</v>
      </c>
      <c r="C282" s="38" t="s">
        <v>969</v>
      </c>
      <c r="D282" s="38">
        <v>4.0</v>
      </c>
      <c r="E282" s="38">
        <v>13.0</v>
      </c>
      <c r="F282" s="38">
        <v>7.0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38">
        <v>281.0</v>
      </c>
      <c r="B283" s="39" t="s">
        <v>615</v>
      </c>
      <c r="C283" s="38" t="s">
        <v>969</v>
      </c>
      <c r="D283" s="38">
        <v>4.0</v>
      </c>
      <c r="E283" s="38">
        <v>2.0</v>
      </c>
      <c r="F283" s="38">
        <v>1.0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38">
        <v>282.0</v>
      </c>
      <c r="B284" s="39" t="s">
        <v>274</v>
      </c>
      <c r="C284" s="38" t="s">
        <v>969</v>
      </c>
      <c r="D284" s="38">
        <v>4.0</v>
      </c>
      <c r="E284" s="38">
        <v>3.0</v>
      </c>
      <c r="F284" s="38">
        <v>3.0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38">
        <v>283.0</v>
      </c>
      <c r="B285" s="39" t="s">
        <v>659</v>
      </c>
      <c r="C285" s="38" t="s">
        <v>969</v>
      </c>
      <c r="D285" s="38">
        <v>4.0</v>
      </c>
      <c r="E285" s="38">
        <v>11.0</v>
      </c>
      <c r="F285" s="38">
        <v>6.0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8">
        <v>284.0</v>
      </c>
      <c r="B286" s="39" t="s">
        <v>165</v>
      </c>
      <c r="C286" s="38" t="s">
        <v>969</v>
      </c>
      <c r="D286" s="38">
        <v>4.0</v>
      </c>
      <c r="E286" s="38">
        <v>15.0</v>
      </c>
      <c r="F286" s="38">
        <v>7.0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38">
        <v>285.0</v>
      </c>
      <c r="B287" s="39" t="s">
        <v>106</v>
      </c>
      <c r="C287" s="38" t="s">
        <v>969</v>
      </c>
      <c r="D287" s="38">
        <v>4.0</v>
      </c>
      <c r="E287" s="38">
        <v>11.0</v>
      </c>
      <c r="F287" s="38">
        <v>7.0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38">
        <v>286.0</v>
      </c>
      <c r="B288" s="39" t="s">
        <v>97</v>
      </c>
      <c r="C288" s="38" t="s">
        <v>969</v>
      </c>
      <c r="D288" s="38">
        <v>4.0</v>
      </c>
      <c r="E288" s="38">
        <v>10.0</v>
      </c>
      <c r="F288" s="38">
        <v>7.0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38">
        <v>287.0</v>
      </c>
      <c r="B289" s="39" t="s">
        <v>132</v>
      </c>
      <c r="C289" s="38" t="s">
        <v>968</v>
      </c>
      <c r="D289" s="38">
        <v>4.0</v>
      </c>
      <c r="E289" s="38">
        <v>4.0</v>
      </c>
      <c r="F289" s="38">
        <v>4.0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38">
        <v>288.0</v>
      </c>
      <c r="B290" s="39" t="s">
        <v>731</v>
      </c>
      <c r="C290" s="38" t="s">
        <v>969</v>
      </c>
      <c r="D290" s="38">
        <v>4.0</v>
      </c>
      <c r="E290" s="38">
        <v>2.0</v>
      </c>
      <c r="F290" s="38">
        <v>2.0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38">
        <v>289.0</v>
      </c>
      <c r="B291" s="39" t="s">
        <v>614</v>
      </c>
      <c r="C291" s="38" t="s">
        <v>969</v>
      </c>
      <c r="D291" s="38">
        <v>4.0</v>
      </c>
      <c r="E291" s="38">
        <v>4.0</v>
      </c>
      <c r="F291" s="38">
        <v>4.0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38">
        <v>290.0</v>
      </c>
      <c r="B292" s="39" t="s">
        <v>170</v>
      </c>
      <c r="C292" s="38" t="s">
        <v>969</v>
      </c>
      <c r="D292" s="38">
        <v>4.0</v>
      </c>
      <c r="E292" s="38">
        <v>3.0</v>
      </c>
      <c r="F292" s="38">
        <v>3.0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38">
        <v>291.0</v>
      </c>
      <c r="B293" s="39" t="s">
        <v>54</v>
      </c>
      <c r="C293" s="38" t="s">
        <v>969</v>
      </c>
      <c r="D293" s="38">
        <v>4.0</v>
      </c>
      <c r="E293" s="38">
        <v>7.0</v>
      </c>
      <c r="F293" s="38">
        <v>7.0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38">
        <v>292.0</v>
      </c>
      <c r="B294" s="39" t="s">
        <v>860</v>
      </c>
      <c r="C294" s="38" t="s">
        <v>969</v>
      </c>
      <c r="D294" s="38">
        <v>4.0</v>
      </c>
      <c r="E294" s="38">
        <v>13.0</v>
      </c>
      <c r="F294" s="38">
        <v>11.0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38">
        <v>293.0</v>
      </c>
      <c r="B295" s="39" t="s">
        <v>130</v>
      </c>
      <c r="C295" s="38" t="s">
        <v>969</v>
      </c>
      <c r="D295" s="38">
        <v>4.0</v>
      </c>
      <c r="E295" s="38">
        <v>5.0</v>
      </c>
      <c r="F295" s="38">
        <v>2.0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38">
        <v>294.0</v>
      </c>
      <c r="B296" s="39" t="s">
        <v>542</v>
      </c>
      <c r="C296" s="38" t="s">
        <v>969</v>
      </c>
      <c r="D296" s="38">
        <v>4.0</v>
      </c>
      <c r="E296" s="38">
        <v>3.0</v>
      </c>
      <c r="F296" s="38">
        <v>3.0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38">
        <v>295.0</v>
      </c>
      <c r="B297" s="39" t="s">
        <v>61</v>
      </c>
      <c r="C297" s="38" t="s">
        <v>969</v>
      </c>
      <c r="D297" s="38">
        <v>4.0</v>
      </c>
      <c r="E297" s="38">
        <v>52.0</v>
      </c>
      <c r="F297" s="38">
        <v>22.0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38">
        <v>296.0</v>
      </c>
      <c r="B298" s="39" t="s">
        <v>95</v>
      </c>
      <c r="C298" s="38" t="s">
        <v>969</v>
      </c>
      <c r="D298" s="38">
        <v>4.0</v>
      </c>
      <c r="E298" s="38">
        <v>8.0</v>
      </c>
      <c r="F298" s="38">
        <v>4.0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38">
        <v>297.0</v>
      </c>
      <c r="B299" s="39" t="s">
        <v>90</v>
      </c>
      <c r="C299" s="38" t="s">
        <v>968</v>
      </c>
      <c r="D299" s="38">
        <v>4.0</v>
      </c>
      <c r="E299" s="38">
        <v>8.0</v>
      </c>
      <c r="F299" s="38">
        <v>5.0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38">
        <v>298.0</v>
      </c>
      <c r="B300" s="39" t="s">
        <v>312</v>
      </c>
      <c r="C300" s="38" t="s">
        <v>969</v>
      </c>
      <c r="D300" s="38">
        <v>4.0</v>
      </c>
      <c r="E300" s="38">
        <v>2.0</v>
      </c>
      <c r="F300" s="38">
        <v>2.0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38">
        <v>299.0</v>
      </c>
      <c r="B301" s="39" t="s">
        <v>53</v>
      </c>
      <c r="C301" s="38" t="s">
        <v>969</v>
      </c>
      <c r="D301" s="38">
        <v>4.0</v>
      </c>
      <c r="E301" s="38">
        <v>53.0</v>
      </c>
      <c r="F301" s="38">
        <v>27.0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38">
        <v>300.0</v>
      </c>
      <c r="B302" s="39" t="s">
        <v>101</v>
      </c>
      <c r="C302" s="38" t="s">
        <v>969</v>
      </c>
      <c r="D302" s="38">
        <v>4.0</v>
      </c>
      <c r="E302" s="38">
        <v>8.0</v>
      </c>
      <c r="F302" s="38">
        <v>5.0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38">
        <v>301.0</v>
      </c>
      <c r="B303" s="39" t="s">
        <v>84</v>
      </c>
      <c r="C303" s="38" t="s">
        <v>969</v>
      </c>
      <c r="D303" s="38">
        <v>4.0</v>
      </c>
      <c r="E303" s="38">
        <v>16.0</v>
      </c>
      <c r="F303" s="38">
        <v>9.0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38">
        <v>302.0</v>
      </c>
      <c r="B304" s="39" t="s">
        <v>376</v>
      </c>
      <c r="C304" s="38" t="s">
        <v>969</v>
      </c>
      <c r="D304" s="38">
        <v>4.0</v>
      </c>
      <c r="E304" s="38">
        <v>4.0</v>
      </c>
      <c r="F304" s="38">
        <v>3.0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8">
        <v>303.0</v>
      </c>
      <c r="B305" s="39" t="s">
        <v>57</v>
      </c>
      <c r="C305" s="38" t="s">
        <v>969</v>
      </c>
      <c r="D305" s="38">
        <v>4.0</v>
      </c>
      <c r="E305" s="38">
        <v>44.0</v>
      </c>
      <c r="F305" s="38">
        <v>26.0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38">
        <v>304.0</v>
      </c>
      <c r="B306" s="39" t="s">
        <v>78</v>
      </c>
      <c r="C306" s="38" t="s">
        <v>970</v>
      </c>
      <c r="D306" s="38">
        <v>3.0</v>
      </c>
      <c r="E306" s="38">
        <v>19.0</v>
      </c>
      <c r="F306" s="38">
        <v>15.0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38">
        <v>305.0</v>
      </c>
      <c r="B307" s="39" t="s">
        <v>172</v>
      </c>
      <c r="C307" s="38" t="s">
        <v>969</v>
      </c>
      <c r="D307" s="38">
        <v>3.0</v>
      </c>
      <c r="E307" s="38">
        <v>4.0</v>
      </c>
      <c r="F307" s="38">
        <v>4.0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38">
        <v>306.0</v>
      </c>
      <c r="B308" s="39" t="s">
        <v>180</v>
      </c>
      <c r="C308" s="38" t="s">
        <v>969</v>
      </c>
      <c r="D308" s="38">
        <v>3.0</v>
      </c>
      <c r="E308" s="38">
        <v>2.0</v>
      </c>
      <c r="F308" s="38">
        <v>2.0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38">
        <v>307.0</v>
      </c>
      <c r="B309" s="39" t="s">
        <v>192</v>
      </c>
      <c r="C309" s="38" t="s">
        <v>970</v>
      </c>
      <c r="D309" s="38">
        <v>3.0</v>
      </c>
      <c r="E309" s="38">
        <v>2.0</v>
      </c>
      <c r="F309" s="38">
        <v>1.0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38">
        <v>308.0</v>
      </c>
      <c r="B310" s="39" t="s">
        <v>166</v>
      </c>
      <c r="C310" s="38" t="s">
        <v>970</v>
      </c>
      <c r="D310" s="38">
        <v>3.0</v>
      </c>
      <c r="E310" s="38">
        <v>3.0</v>
      </c>
      <c r="F310" s="38">
        <v>3.0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38">
        <v>309.0</v>
      </c>
      <c r="B311" s="39" t="s">
        <v>220</v>
      </c>
      <c r="C311" s="38" t="s">
        <v>969</v>
      </c>
      <c r="D311" s="38">
        <v>3.0</v>
      </c>
      <c r="E311" s="38">
        <v>2.0</v>
      </c>
      <c r="F311" s="38">
        <v>2.0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38">
        <v>310.0</v>
      </c>
      <c r="B312" s="39" t="s">
        <v>609</v>
      </c>
      <c r="C312" s="38" t="s">
        <v>970</v>
      </c>
      <c r="D312" s="38">
        <v>3.0</v>
      </c>
      <c r="E312" s="38">
        <v>2.0</v>
      </c>
      <c r="F312" s="38">
        <v>2.0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38">
        <v>311.0</v>
      </c>
      <c r="B313" s="39" t="s">
        <v>316</v>
      </c>
      <c r="C313" s="38" t="s">
        <v>970</v>
      </c>
      <c r="D313" s="38">
        <v>3.0</v>
      </c>
      <c r="E313" s="38">
        <v>8.0</v>
      </c>
      <c r="F313" s="38">
        <v>6.0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38">
        <v>312.0</v>
      </c>
      <c r="B314" s="39" t="s">
        <v>142</v>
      </c>
      <c r="C314" s="38" t="s">
        <v>970</v>
      </c>
      <c r="D314" s="38">
        <v>3.0</v>
      </c>
      <c r="E314" s="38">
        <v>3.0</v>
      </c>
      <c r="F314" s="38">
        <v>3.0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38">
        <v>313.0</v>
      </c>
      <c r="B315" s="39" t="s">
        <v>185</v>
      </c>
      <c r="C315" s="38" t="s">
        <v>970</v>
      </c>
      <c r="D315" s="38">
        <v>3.0</v>
      </c>
      <c r="E315" s="38">
        <v>3.0</v>
      </c>
      <c r="F315" s="38">
        <v>3.0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38">
        <v>314.0</v>
      </c>
      <c r="B316" s="39" t="s">
        <v>837</v>
      </c>
      <c r="C316" s="38" t="s">
        <v>970</v>
      </c>
      <c r="D316" s="38">
        <v>3.0</v>
      </c>
      <c r="E316" s="38">
        <v>4.0</v>
      </c>
      <c r="F316" s="38">
        <v>3.0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38">
        <v>315.0</v>
      </c>
      <c r="B317" s="39" t="s">
        <v>339</v>
      </c>
      <c r="C317" s="38" t="s">
        <v>970</v>
      </c>
      <c r="D317" s="38">
        <v>3.0</v>
      </c>
      <c r="E317" s="38">
        <v>2.0</v>
      </c>
      <c r="F317" s="38">
        <v>2.0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38">
        <v>316.0</v>
      </c>
      <c r="B318" s="39" t="s">
        <v>611</v>
      </c>
      <c r="C318" s="38" t="s">
        <v>970</v>
      </c>
      <c r="D318" s="38">
        <v>3.0</v>
      </c>
      <c r="E318" s="38">
        <v>36.0</v>
      </c>
      <c r="F318" s="38">
        <v>20.0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38">
        <v>317.0</v>
      </c>
      <c r="B319" s="39" t="s">
        <v>125</v>
      </c>
      <c r="C319" s="38" t="s">
        <v>969</v>
      </c>
      <c r="D319" s="38">
        <v>3.0</v>
      </c>
      <c r="E319" s="38">
        <v>12.0</v>
      </c>
      <c r="F319" s="38">
        <v>8.0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38">
        <v>318.0</v>
      </c>
      <c r="B320" s="39" t="s">
        <v>94</v>
      </c>
      <c r="C320" s="38" t="s">
        <v>970</v>
      </c>
      <c r="D320" s="38">
        <v>3.0</v>
      </c>
      <c r="E320" s="38">
        <v>9.0</v>
      </c>
      <c r="F320" s="38">
        <v>2.0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38">
        <v>319.0</v>
      </c>
      <c r="B321" s="39" t="s">
        <v>237</v>
      </c>
      <c r="C321" s="38" t="s">
        <v>970</v>
      </c>
      <c r="D321" s="38">
        <v>3.0</v>
      </c>
      <c r="E321" s="38">
        <v>4.0</v>
      </c>
      <c r="F321" s="38">
        <v>2.0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38">
        <v>320.0</v>
      </c>
      <c r="B322" s="39" t="s">
        <v>326</v>
      </c>
      <c r="C322" s="38" t="s">
        <v>971</v>
      </c>
      <c r="D322" s="38">
        <v>2.0</v>
      </c>
      <c r="E322" s="38">
        <v>3.0</v>
      </c>
      <c r="F322" s="38">
        <v>3.0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38">
        <v>321.0</v>
      </c>
      <c r="B323" s="39" t="s">
        <v>266</v>
      </c>
      <c r="C323" s="38" t="s">
        <v>970</v>
      </c>
      <c r="D323" s="38">
        <v>2.0</v>
      </c>
      <c r="E323" s="38">
        <v>2.0</v>
      </c>
      <c r="F323" s="38">
        <v>2.0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38">
        <v>322.0</v>
      </c>
      <c r="B324" s="39" t="s">
        <v>255</v>
      </c>
      <c r="C324" s="38" t="s">
        <v>971</v>
      </c>
      <c r="D324" s="38">
        <v>2.0</v>
      </c>
      <c r="E324" s="38">
        <v>2.0</v>
      </c>
      <c r="F324" s="38">
        <v>1.0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38">
        <v>323.0</v>
      </c>
      <c r="B325" s="39" t="s">
        <v>285</v>
      </c>
      <c r="C325" s="38" t="s">
        <v>971</v>
      </c>
      <c r="D325" s="38">
        <v>2.0</v>
      </c>
      <c r="E325" s="38">
        <v>2.0</v>
      </c>
      <c r="F325" s="38">
        <v>2.0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38">
        <v>324.0</v>
      </c>
      <c r="B326" s="39" t="s">
        <v>200</v>
      </c>
      <c r="C326" s="38" t="s">
        <v>971</v>
      </c>
      <c r="D326" s="38">
        <v>2.0</v>
      </c>
      <c r="E326" s="38">
        <v>9.0</v>
      </c>
      <c r="F326" s="38">
        <v>5.0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38">
        <v>325.0</v>
      </c>
      <c r="B327" s="39" t="s">
        <v>201</v>
      </c>
      <c r="C327" s="38" t="s">
        <v>970</v>
      </c>
      <c r="D327" s="38">
        <v>2.0</v>
      </c>
      <c r="E327" s="38">
        <v>4.0</v>
      </c>
      <c r="F327" s="38">
        <v>4.0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38">
        <v>326.0</v>
      </c>
      <c r="B328" s="39" t="s">
        <v>122</v>
      </c>
      <c r="C328" s="38" t="s">
        <v>971</v>
      </c>
      <c r="D328" s="38">
        <v>2.0</v>
      </c>
      <c r="E328" s="38">
        <v>4.0</v>
      </c>
      <c r="F328" s="38">
        <v>3.0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38">
        <v>327.0</v>
      </c>
      <c r="B329" s="39" t="s">
        <v>189</v>
      </c>
      <c r="C329" s="38" t="s">
        <v>971</v>
      </c>
      <c r="D329" s="38">
        <v>2.0</v>
      </c>
      <c r="E329" s="38">
        <v>2.0</v>
      </c>
      <c r="F329" s="38">
        <v>2.0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38">
        <v>328.0</v>
      </c>
      <c r="B330" s="39" t="s">
        <v>224</v>
      </c>
      <c r="C330" s="38" t="s">
        <v>970</v>
      </c>
      <c r="D330" s="38">
        <v>2.0</v>
      </c>
      <c r="E330" s="38">
        <v>2.0</v>
      </c>
      <c r="F330" s="38">
        <v>2.0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38">
        <v>329.0</v>
      </c>
      <c r="B331" s="39" t="s">
        <v>286</v>
      </c>
      <c r="C331" s="38" t="s">
        <v>970</v>
      </c>
      <c r="D331" s="38">
        <v>2.0</v>
      </c>
      <c r="E331" s="38">
        <v>2.0</v>
      </c>
      <c r="F331" s="38">
        <v>2.0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38">
        <v>330.0</v>
      </c>
      <c r="B332" s="39" t="s">
        <v>127</v>
      </c>
      <c r="C332" s="38" t="s">
        <v>971</v>
      </c>
      <c r="D332" s="38">
        <v>2.0</v>
      </c>
      <c r="E332" s="38">
        <v>6.0</v>
      </c>
      <c r="F332" s="38">
        <v>2.0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38">
        <v>331.0</v>
      </c>
      <c r="B333" s="39" t="s">
        <v>104</v>
      </c>
      <c r="C333" s="38" t="s">
        <v>972</v>
      </c>
      <c r="D333" s="38">
        <v>1.0</v>
      </c>
      <c r="E333" s="38">
        <v>9.0</v>
      </c>
      <c r="F333" s="38">
        <v>5.0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38">
        <v>332.0</v>
      </c>
      <c r="B334" s="39" t="s">
        <v>120</v>
      </c>
      <c r="C334" s="38" t="s">
        <v>972</v>
      </c>
      <c r="D334" s="38">
        <v>1.0</v>
      </c>
      <c r="E334" s="38">
        <v>7.0</v>
      </c>
      <c r="F334" s="38">
        <v>2.0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38">
        <v>333.0</v>
      </c>
      <c r="B335" s="39" t="s">
        <v>320</v>
      </c>
      <c r="C335" s="38" t="s">
        <v>971</v>
      </c>
      <c r="D335" s="38">
        <v>1.0</v>
      </c>
      <c r="E335" s="38">
        <v>2.0</v>
      </c>
      <c r="F335" s="38">
        <v>2.0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38">
        <v>334.0</v>
      </c>
      <c r="B336" s="39" t="s">
        <v>292</v>
      </c>
      <c r="C336" s="38" t="s">
        <v>972</v>
      </c>
      <c r="D336" s="38">
        <v>1.0</v>
      </c>
      <c r="E336" s="38">
        <v>2.0</v>
      </c>
      <c r="F336" s="38">
        <v>2.0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5"/>
      <c r="B337" s="46"/>
      <c r="C337" s="45"/>
      <c r="D337" s="45"/>
      <c r="E337" s="45"/>
      <c r="F337" s="4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5"/>
      <c r="B338" s="46"/>
      <c r="C338" s="45"/>
      <c r="D338" s="45"/>
      <c r="E338" s="45"/>
      <c r="F338" s="4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5"/>
      <c r="B339" s="46"/>
      <c r="C339" s="45"/>
      <c r="D339" s="45"/>
      <c r="E339" s="45"/>
      <c r="F339" s="4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5"/>
      <c r="B340" s="46"/>
      <c r="C340" s="45"/>
      <c r="D340" s="45"/>
      <c r="E340" s="45"/>
      <c r="F340" s="4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5"/>
      <c r="B341" s="46"/>
      <c r="C341" s="45"/>
      <c r="D341" s="45"/>
      <c r="E341" s="45"/>
      <c r="F341" s="4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5"/>
      <c r="B342" s="46"/>
      <c r="C342" s="45"/>
      <c r="D342" s="45"/>
      <c r="E342" s="45"/>
      <c r="F342" s="4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5"/>
      <c r="B343" s="46"/>
      <c r="C343" s="45"/>
      <c r="D343" s="45"/>
      <c r="E343" s="45"/>
      <c r="F343" s="4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5"/>
      <c r="B344" s="46"/>
      <c r="C344" s="45"/>
      <c r="D344" s="45"/>
      <c r="E344" s="45"/>
      <c r="F344" s="4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5"/>
      <c r="B345" s="46"/>
      <c r="C345" s="45"/>
      <c r="D345" s="45"/>
      <c r="E345" s="45"/>
      <c r="F345" s="4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5"/>
      <c r="B346" s="46"/>
      <c r="C346" s="45"/>
      <c r="D346" s="45"/>
      <c r="E346" s="45"/>
      <c r="F346" s="4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5"/>
      <c r="B347" s="46"/>
      <c r="C347" s="45"/>
      <c r="D347" s="45"/>
      <c r="E347" s="45"/>
      <c r="F347" s="4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5"/>
      <c r="B348" s="46"/>
      <c r="C348" s="45"/>
      <c r="D348" s="45"/>
      <c r="E348" s="45"/>
      <c r="F348" s="4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5"/>
      <c r="B349" s="46"/>
      <c r="C349" s="45"/>
      <c r="D349" s="45"/>
      <c r="E349" s="45"/>
      <c r="F349" s="4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5"/>
      <c r="B350" s="46"/>
      <c r="C350" s="45"/>
      <c r="D350" s="45"/>
      <c r="E350" s="45"/>
      <c r="F350" s="4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5"/>
      <c r="B351" s="46"/>
      <c r="C351" s="45"/>
      <c r="D351" s="45"/>
      <c r="E351" s="45"/>
      <c r="F351" s="4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5"/>
      <c r="B352" s="46"/>
      <c r="C352" s="45"/>
      <c r="D352" s="45"/>
      <c r="E352" s="45"/>
      <c r="F352" s="4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5"/>
      <c r="B353" s="46"/>
      <c r="C353" s="45"/>
      <c r="D353" s="45"/>
      <c r="E353" s="45"/>
      <c r="F353" s="4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5"/>
      <c r="B354" s="46"/>
      <c r="C354" s="45"/>
      <c r="D354" s="45"/>
      <c r="E354" s="45"/>
      <c r="F354" s="4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5"/>
      <c r="B355" s="46"/>
      <c r="C355" s="45"/>
      <c r="D355" s="45"/>
      <c r="E355" s="45"/>
      <c r="F355" s="4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5"/>
      <c r="B356" s="46"/>
      <c r="C356" s="45"/>
      <c r="D356" s="45"/>
      <c r="E356" s="45"/>
      <c r="F356" s="4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5"/>
      <c r="B357" s="46"/>
      <c r="C357" s="45"/>
      <c r="D357" s="45"/>
      <c r="E357" s="45"/>
      <c r="F357" s="4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5"/>
      <c r="B358" s="46"/>
      <c r="C358" s="45"/>
      <c r="D358" s="45"/>
      <c r="E358" s="45"/>
      <c r="F358" s="4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5"/>
      <c r="B359" s="46"/>
      <c r="C359" s="45"/>
      <c r="D359" s="45"/>
      <c r="E359" s="45"/>
      <c r="F359" s="4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5"/>
      <c r="B360" s="46"/>
      <c r="C360" s="45"/>
      <c r="D360" s="45"/>
      <c r="E360" s="45"/>
      <c r="F360" s="4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5"/>
      <c r="B361" s="46"/>
      <c r="C361" s="45"/>
      <c r="D361" s="45"/>
      <c r="E361" s="45"/>
      <c r="F361" s="4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5"/>
      <c r="B362" s="46"/>
      <c r="C362" s="45"/>
      <c r="D362" s="45"/>
      <c r="E362" s="45"/>
      <c r="F362" s="4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5"/>
      <c r="B363" s="46"/>
      <c r="C363" s="45"/>
      <c r="D363" s="45"/>
      <c r="E363" s="45"/>
      <c r="F363" s="4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5"/>
      <c r="B364" s="46"/>
      <c r="C364" s="45"/>
      <c r="D364" s="45"/>
      <c r="E364" s="45"/>
      <c r="F364" s="4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5"/>
      <c r="B365" s="46"/>
      <c r="C365" s="45"/>
      <c r="D365" s="45"/>
      <c r="E365" s="45"/>
      <c r="F365" s="4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5"/>
      <c r="B366" s="46"/>
      <c r="C366" s="45"/>
      <c r="D366" s="45"/>
      <c r="E366" s="45"/>
      <c r="F366" s="4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5"/>
      <c r="B367" s="46"/>
      <c r="C367" s="45"/>
      <c r="D367" s="45"/>
      <c r="E367" s="45"/>
      <c r="F367" s="4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5"/>
      <c r="B368" s="46"/>
      <c r="C368" s="45"/>
      <c r="D368" s="45"/>
      <c r="E368" s="45"/>
      <c r="F368" s="4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5"/>
      <c r="B369" s="46"/>
      <c r="C369" s="45"/>
      <c r="D369" s="45"/>
      <c r="E369" s="45"/>
      <c r="F369" s="4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5"/>
      <c r="B370" s="46"/>
      <c r="C370" s="45"/>
      <c r="D370" s="45"/>
      <c r="E370" s="45"/>
      <c r="F370" s="4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5"/>
      <c r="B371" s="46"/>
      <c r="C371" s="45"/>
      <c r="D371" s="45"/>
      <c r="E371" s="45"/>
      <c r="F371" s="4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5"/>
      <c r="B372" s="46"/>
      <c r="C372" s="45"/>
      <c r="D372" s="45"/>
      <c r="E372" s="45"/>
      <c r="F372" s="4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5"/>
      <c r="B373" s="46"/>
      <c r="C373" s="45"/>
      <c r="D373" s="45"/>
      <c r="E373" s="45"/>
      <c r="F373" s="4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5"/>
      <c r="B374" s="46"/>
      <c r="C374" s="45"/>
      <c r="D374" s="45"/>
      <c r="E374" s="45"/>
      <c r="F374" s="4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5"/>
      <c r="B375" s="46"/>
      <c r="C375" s="45"/>
      <c r="D375" s="45"/>
      <c r="E375" s="45"/>
      <c r="F375" s="4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5"/>
      <c r="B376" s="46"/>
      <c r="C376" s="45"/>
      <c r="D376" s="45"/>
      <c r="E376" s="45"/>
      <c r="F376" s="4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5"/>
      <c r="B377" s="46"/>
      <c r="C377" s="45"/>
      <c r="D377" s="45"/>
      <c r="E377" s="45"/>
      <c r="F377" s="4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5"/>
      <c r="B378" s="46"/>
      <c r="C378" s="45"/>
      <c r="D378" s="45"/>
      <c r="E378" s="45"/>
      <c r="F378" s="4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5"/>
      <c r="B379" s="46"/>
      <c r="C379" s="45"/>
      <c r="D379" s="45"/>
      <c r="E379" s="45"/>
      <c r="F379" s="4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5"/>
      <c r="B380" s="46"/>
      <c r="C380" s="45"/>
      <c r="D380" s="45"/>
      <c r="E380" s="45"/>
      <c r="F380" s="4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5"/>
      <c r="B381" s="46"/>
      <c r="C381" s="45"/>
      <c r="D381" s="45"/>
      <c r="E381" s="45"/>
      <c r="F381" s="4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5"/>
      <c r="B382" s="46"/>
      <c r="C382" s="45"/>
      <c r="D382" s="45"/>
      <c r="E382" s="45"/>
      <c r="F382" s="4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5"/>
      <c r="B383" s="46"/>
      <c r="C383" s="45"/>
      <c r="D383" s="45"/>
      <c r="E383" s="45"/>
      <c r="F383" s="4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5"/>
      <c r="B384" s="46"/>
      <c r="C384" s="45"/>
      <c r="D384" s="45"/>
      <c r="E384" s="45"/>
      <c r="F384" s="4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5"/>
      <c r="B385" s="46"/>
      <c r="C385" s="45"/>
      <c r="D385" s="45"/>
      <c r="E385" s="45"/>
      <c r="F385" s="4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5"/>
      <c r="B386" s="46"/>
      <c r="C386" s="45"/>
      <c r="D386" s="45"/>
      <c r="E386" s="45"/>
      <c r="F386" s="4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5"/>
      <c r="B387" s="46"/>
      <c r="C387" s="45"/>
      <c r="D387" s="45"/>
      <c r="E387" s="45"/>
      <c r="F387" s="4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5"/>
      <c r="B388" s="46"/>
      <c r="C388" s="45"/>
      <c r="D388" s="45"/>
      <c r="E388" s="45"/>
      <c r="F388" s="4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5"/>
      <c r="B389" s="46"/>
      <c r="C389" s="45"/>
      <c r="D389" s="45"/>
      <c r="E389" s="45"/>
      <c r="F389" s="4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5"/>
      <c r="B390" s="46"/>
      <c r="C390" s="45"/>
      <c r="D390" s="45"/>
      <c r="E390" s="45"/>
      <c r="F390" s="4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5"/>
      <c r="B391" s="46"/>
      <c r="C391" s="45"/>
      <c r="D391" s="45"/>
      <c r="E391" s="45"/>
      <c r="F391" s="4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5"/>
      <c r="B392" s="46"/>
      <c r="C392" s="45"/>
      <c r="D392" s="45"/>
      <c r="E392" s="45"/>
      <c r="F392" s="4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5"/>
      <c r="B393" s="46"/>
      <c r="C393" s="45"/>
      <c r="D393" s="45"/>
      <c r="E393" s="45"/>
      <c r="F393" s="4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5"/>
      <c r="B394" s="46"/>
      <c r="C394" s="45"/>
      <c r="D394" s="45"/>
      <c r="E394" s="45"/>
      <c r="F394" s="4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5"/>
      <c r="B395" s="46"/>
      <c r="C395" s="45"/>
      <c r="D395" s="45"/>
      <c r="E395" s="45"/>
      <c r="F395" s="4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5"/>
      <c r="B396" s="46"/>
      <c r="C396" s="45"/>
      <c r="D396" s="45"/>
      <c r="E396" s="45"/>
      <c r="F396" s="4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5"/>
      <c r="B397" s="46"/>
      <c r="C397" s="45"/>
      <c r="D397" s="45"/>
      <c r="E397" s="45"/>
      <c r="F397" s="4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5"/>
      <c r="B398" s="46"/>
      <c r="C398" s="45"/>
      <c r="D398" s="45"/>
      <c r="E398" s="45"/>
      <c r="F398" s="4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5"/>
      <c r="B399" s="46"/>
      <c r="C399" s="45"/>
      <c r="D399" s="45"/>
      <c r="E399" s="45"/>
      <c r="F399" s="4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5"/>
      <c r="B400" s="46"/>
      <c r="C400" s="45"/>
      <c r="D400" s="45"/>
      <c r="E400" s="45"/>
      <c r="F400" s="4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5"/>
      <c r="B401" s="46"/>
      <c r="C401" s="45"/>
      <c r="D401" s="45"/>
      <c r="E401" s="45"/>
      <c r="F401" s="4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5"/>
      <c r="B402" s="46"/>
      <c r="C402" s="45"/>
      <c r="D402" s="45"/>
      <c r="E402" s="45"/>
      <c r="F402" s="4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5"/>
      <c r="B403" s="46"/>
      <c r="C403" s="45"/>
      <c r="D403" s="45"/>
      <c r="E403" s="45"/>
      <c r="F403" s="4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5"/>
      <c r="B404" s="46"/>
      <c r="C404" s="45"/>
      <c r="D404" s="45"/>
      <c r="E404" s="45"/>
      <c r="F404" s="4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5"/>
      <c r="B405" s="46"/>
      <c r="C405" s="45"/>
      <c r="D405" s="45"/>
      <c r="E405" s="45"/>
      <c r="F405" s="4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5"/>
      <c r="B406" s="46"/>
      <c r="C406" s="45"/>
      <c r="D406" s="45"/>
      <c r="E406" s="45"/>
      <c r="F406" s="4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5"/>
      <c r="B407" s="46"/>
      <c r="C407" s="45"/>
      <c r="D407" s="45"/>
      <c r="E407" s="45"/>
      <c r="F407" s="4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5"/>
      <c r="B408" s="46"/>
      <c r="C408" s="45"/>
      <c r="D408" s="45"/>
      <c r="E408" s="45"/>
      <c r="F408" s="4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5"/>
      <c r="B409" s="46"/>
      <c r="C409" s="45"/>
      <c r="D409" s="45"/>
      <c r="E409" s="45"/>
      <c r="F409" s="4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5"/>
      <c r="B410" s="46"/>
      <c r="C410" s="45"/>
      <c r="D410" s="45"/>
      <c r="E410" s="45"/>
      <c r="F410" s="4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5"/>
      <c r="B411" s="46"/>
      <c r="C411" s="45"/>
      <c r="D411" s="45"/>
      <c r="E411" s="45"/>
      <c r="F411" s="4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5"/>
      <c r="B412" s="46"/>
      <c r="C412" s="45"/>
      <c r="D412" s="45"/>
      <c r="E412" s="45"/>
      <c r="F412" s="4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5"/>
      <c r="B413" s="46"/>
      <c r="C413" s="45"/>
      <c r="D413" s="45"/>
      <c r="E413" s="45"/>
      <c r="F413" s="4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5"/>
      <c r="B414" s="46"/>
      <c r="C414" s="45"/>
      <c r="D414" s="45"/>
      <c r="E414" s="45"/>
      <c r="F414" s="4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5"/>
      <c r="B415" s="46"/>
      <c r="C415" s="45"/>
      <c r="D415" s="45"/>
      <c r="E415" s="45"/>
      <c r="F415" s="4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5"/>
      <c r="B416" s="46"/>
      <c r="C416" s="45"/>
      <c r="D416" s="45"/>
      <c r="E416" s="45"/>
      <c r="F416" s="4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5"/>
      <c r="B417" s="46"/>
      <c r="C417" s="45"/>
      <c r="D417" s="45"/>
      <c r="E417" s="45"/>
      <c r="F417" s="4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5"/>
      <c r="B418" s="46"/>
      <c r="C418" s="45"/>
      <c r="D418" s="45"/>
      <c r="E418" s="45"/>
      <c r="F418" s="4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5"/>
      <c r="B419" s="46"/>
      <c r="C419" s="45"/>
      <c r="D419" s="45"/>
      <c r="E419" s="45"/>
      <c r="F419" s="4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5"/>
      <c r="B420" s="46"/>
      <c r="C420" s="45"/>
      <c r="D420" s="45"/>
      <c r="E420" s="45"/>
      <c r="F420" s="4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5"/>
      <c r="B421" s="46"/>
      <c r="C421" s="45"/>
      <c r="D421" s="45"/>
      <c r="E421" s="45"/>
      <c r="F421" s="4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5"/>
      <c r="B422" s="46"/>
      <c r="C422" s="45"/>
      <c r="D422" s="45"/>
      <c r="E422" s="45"/>
      <c r="F422" s="4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5"/>
      <c r="B423" s="46"/>
      <c r="C423" s="45"/>
      <c r="D423" s="45"/>
      <c r="E423" s="45"/>
      <c r="F423" s="4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5"/>
      <c r="B424" s="46"/>
      <c r="C424" s="45"/>
      <c r="D424" s="45"/>
      <c r="E424" s="45"/>
      <c r="F424" s="4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5"/>
      <c r="B425" s="46"/>
      <c r="C425" s="45"/>
      <c r="D425" s="45"/>
      <c r="E425" s="45"/>
      <c r="F425" s="4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5"/>
      <c r="B426" s="46"/>
      <c r="C426" s="45"/>
      <c r="D426" s="45"/>
      <c r="E426" s="45"/>
      <c r="F426" s="4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5"/>
      <c r="B427" s="46"/>
      <c r="C427" s="45"/>
      <c r="D427" s="45"/>
      <c r="E427" s="45"/>
      <c r="F427" s="4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5"/>
      <c r="B428" s="46"/>
      <c r="C428" s="45"/>
      <c r="D428" s="45"/>
      <c r="E428" s="45"/>
      <c r="F428" s="4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5"/>
      <c r="B429" s="46"/>
      <c r="C429" s="45"/>
      <c r="D429" s="45"/>
      <c r="E429" s="45"/>
      <c r="F429" s="4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5"/>
      <c r="B430" s="46"/>
      <c r="C430" s="45"/>
      <c r="D430" s="45"/>
      <c r="E430" s="45"/>
      <c r="F430" s="4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5"/>
      <c r="B431" s="46"/>
      <c r="C431" s="45"/>
      <c r="D431" s="45"/>
      <c r="E431" s="45"/>
      <c r="F431" s="4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5"/>
      <c r="B432" s="46"/>
      <c r="C432" s="45"/>
      <c r="D432" s="45"/>
      <c r="E432" s="45"/>
      <c r="F432" s="4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5"/>
      <c r="B433" s="46"/>
      <c r="C433" s="45"/>
      <c r="D433" s="45"/>
      <c r="E433" s="45"/>
      <c r="F433" s="4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5"/>
      <c r="B434" s="46"/>
      <c r="C434" s="45"/>
      <c r="D434" s="45"/>
      <c r="E434" s="45"/>
      <c r="F434" s="4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5"/>
      <c r="B435" s="46"/>
      <c r="C435" s="45"/>
      <c r="D435" s="45"/>
      <c r="E435" s="45"/>
      <c r="F435" s="4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5"/>
      <c r="B436" s="46"/>
      <c r="C436" s="45"/>
      <c r="D436" s="45"/>
      <c r="E436" s="45"/>
      <c r="F436" s="4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5"/>
      <c r="B437" s="46"/>
      <c r="C437" s="45"/>
      <c r="D437" s="45"/>
      <c r="E437" s="45"/>
      <c r="F437" s="4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5"/>
      <c r="B438" s="46"/>
      <c r="C438" s="45"/>
      <c r="D438" s="45"/>
      <c r="E438" s="45"/>
      <c r="F438" s="4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5"/>
      <c r="B439" s="46"/>
      <c r="C439" s="45"/>
      <c r="D439" s="45"/>
      <c r="E439" s="45"/>
      <c r="F439" s="4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5"/>
      <c r="B440" s="46"/>
      <c r="C440" s="45"/>
      <c r="D440" s="45"/>
      <c r="E440" s="45"/>
      <c r="F440" s="4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5"/>
      <c r="B441" s="46"/>
      <c r="C441" s="45"/>
      <c r="D441" s="45"/>
      <c r="E441" s="45"/>
      <c r="F441" s="4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5"/>
      <c r="B442" s="46"/>
      <c r="C442" s="45"/>
      <c r="D442" s="45"/>
      <c r="E442" s="45"/>
      <c r="F442" s="4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5"/>
      <c r="B443" s="46"/>
      <c r="C443" s="45"/>
      <c r="D443" s="45"/>
      <c r="E443" s="45"/>
      <c r="F443" s="4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5"/>
      <c r="B444" s="46"/>
      <c r="C444" s="45"/>
      <c r="D444" s="45"/>
      <c r="E444" s="45"/>
      <c r="F444" s="4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5"/>
      <c r="B445" s="46"/>
      <c r="C445" s="45"/>
      <c r="D445" s="45"/>
      <c r="E445" s="45"/>
      <c r="F445" s="4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5"/>
      <c r="B446" s="46"/>
      <c r="C446" s="45"/>
      <c r="D446" s="45"/>
      <c r="E446" s="45"/>
      <c r="F446" s="4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5"/>
      <c r="B447" s="46"/>
      <c r="C447" s="45"/>
      <c r="D447" s="45"/>
      <c r="E447" s="45"/>
      <c r="F447" s="4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5"/>
      <c r="B448" s="46"/>
      <c r="C448" s="45"/>
      <c r="D448" s="45"/>
      <c r="E448" s="45"/>
      <c r="F448" s="4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5"/>
      <c r="B449" s="46"/>
      <c r="C449" s="45"/>
      <c r="D449" s="45"/>
      <c r="E449" s="45"/>
      <c r="F449" s="4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5"/>
      <c r="B450" s="46"/>
      <c r="C450" s="45"/>
      <c r="D450" s="45"/>
      <c r="E450" s="45"/>
      <c r="F450" s="4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5"/>
      <c r="B451" s="46"/>
      <c r="C451" s="45"/>
      <c r="D451" s="45"/>
      <c r="E451" s="45"/>
      <c r="F451" s="4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5"/>
      <c r="B452" s="46"/>
      <c r="C452" s="45"/>
      <c r="D452" s="45"/>
      <c r="E452" s="45"/>
      <c r="F452" s="4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5"/>
      <c r="B453" s="46"/>
      <c r="C453" s="45"/>
      <c r="D453" s="45"/>
      <c r="E453" s="45"/>
      <c r="F453" s="4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5"/>
      <c r="B454" s="46"/>
      <c r="C454" s="45"/>
      <c r="D454" s="45"/>
      <c r="E454" s="45"/>
      <c r="F454" s="4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5"/>
      <c r="B455" s="46"/>
      <c r="C455" s="45"/>
      <c r="D455" s="45"/>
      <c r="E455" s="45"/>
      <c r="F455" s="4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5"/>
      <c r="B456" s="46"/>
      <c r="C456" s="45"/>
      <c r="D456" s="45"/>
      <c r="E456" s="45"/>
      <c r="F456" s="4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5"/>
      <c r="B457" s="46"/>
      <c r="C457" s="45"/>
      <c r="D457" s="45"/>
      <c r="E457" s="45"/>
      <c r="F457" s="4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5"/>
      <c r="B458" s="46"/>
      <c r="C458" s="45"/>
      <c r="D458" s="45"/>
      <c r="E458" s="45"/>
      <c r="F458" s="4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5"/>
      <c r="B459" s="46"/>
      <c r="C459" s="45"/>
      <c r="D459" s="45"/>
      <c r="E459" s="45"/>
      <c r="F459" s="4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5"/>
      <c r="B460" s="46"/>
      <c r="C460" s="45"/>
      <c r="D460" s="45"/>
      <c r="E460" s="45"/>
      <c r="F460" s="4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5"/>
      <c r="B461" s="46"/>
      <c r="C461" s="45"/>
      <c r="D461" s="45"/>
      <c r="E461" s="45"/>
      <c r="F461" s="4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5"/>
      <c r="B462" s="46"/>
      <c r="C462" s="45"/>
      <c r="D462" s="45"/>
      <c r="E462" s="45"/>
      <c r="F462" s="4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5"/>
      <c r="B463" s="46"/>
      <c r="C463" s="45"/>
      <c r="D463" s="45"/>
      <c r="E463" s="45"/>
      <c r="F463" s="4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5"/>
      <c r="B464" s="46"/>
      <c r="C464" s="45"/>
      <c r="D464" s="45"/>
      <c r="E464" s="45"/>
      <c r="F464" s="4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5"/>
      <c r="B465" s="46"/>
      <c r="C465" s="45"/>
      <c r="D465" s="45"/>
      <c r="E465" s="45"/>
      <c r="F465" s="4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5"/>
      <c r="B466" s="46"/>
      <c r="C466" s="45"/>
      <c r="D466" s="45"/>
      <c r="E466" s="45"/>
      <c r="F466" s="4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5"/>
      <c r="B467" s="46"/>
      <c r="C467" s="45"/>
      <c r="D467" s="45"/>
      <c r="E467" s="45"/>
      <c r="F467" s="4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5"/>
      <c r="B468" s="46"/>
      <c r="C468" s="45"/>
      <c r="D468" s="45"/>
      <c r="E468" s="45"/>
      <c r="F468" s="4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5"/>
      <c r="B469" s="46"/>
      <c r="C469" s="45"/>
      <c r="D469" s="45"/>
      <c r="E469" s="45"/>
      <c r="F469" s="4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5"/>
      <c r="B470" s="46"/>
      <c r="C470" s="45"/>
      <c r="D470" s="45"/>
      <c r="E470" s="45"/>
      <c r="F470" s="4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5"/>
      <c r="B471" s="46"/>
      <c r="C471" s="45"/>
      <c r="D471" s="45"/>
      <c r="E471" s="45"/>
      <c r="F471" s="4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5"/>
      <c r="B472" s="46"/>
      <c r="C472" s="45"/>
      <c r="D472" s="45"/>
      <c r="E472" s="45"/>
      <c r="F472" s="4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5"/>
      <c r="B473" s="46"/>
      <c r="C473" s="45"/>
      <c r="D473" s="45"/>
      <c r="E473" s="45"/>
      <c r="F473" s="4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5"/>
      <c r="B474" s="46"/>
      <c r="C474" s="45"/>
      <c r="D474" s="45"/>
      <c r="E474" s="45"/>
      <c r="F474" s="4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5"/>
      <c r="B475" s="46"/>
      <c r="C475" s="45"/>
      <c r="D475" s="45"/>
      <c r="E475" s="45"/>
      <c r="F475" s="4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5"/>
      <c r="B476" s="46"/>
      <c r="C476" s="45"/>
      <c r="D476" s="45"/>
      <c r="E476" s="45"/>
      <c r="F476" s="4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5"/>
      <c r="B477" s="46"/>
      <c r="C477" s="45"/>
      <c r="D477" s="45"/>
      <c r="E477" s="45"/>
      <c r="F477" s="4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5"/>
      <c r="B478" s="46"/>
      <c r="C478" s="45"/>
      <c r="D478" s="45"/>
      <c r="E478" s="45"/>
      <c r="F478" s="4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5"/>
      <c r="B479" s="46"/>
      <c r="C479" s="45"/>
      <c r="D479" s="45"/>
      <c r="E479" s="45"/>
      <c r="F479" s="4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5"/>
      <c r="B480" s="46"/>
      <c r="C480" s="45"/>
      <c r="D480" s="45"/>
      <c r="E480" s="45"/>
      <c r="F480" s="4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5"/>
      <c r="B481" s="46"/>
      <c r="C481" s="45"/>
      <c r="D481" s="45"/>
      <c r="E481" s="45"/>
      <c r="F481" s="4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5"/>
      <c r="B482" s="46"/>
      <c r="C482" s="45"/>
      <c r="D482" s="45"/>
      <c r="E482" s="45"/>
      <c r="F482" s="4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5"/>
      <c r="B483" s="46"/>
      <c r="C483" s="45"/>
      <c r="D483" s="45"/>
      <c r="E483" s="45"/>
      <c r="F483" s="4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5"/>
      <c r="B484" s="46"/>
      <c r="C484" s="45"/>
      <c r="D484" s="45"/>
      <c r="E484" s="45"/>
      <c r="F484" s="4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5"/>
      <c r="B485" s="46"/>
      <c r="C485" s="45"/>
      <c r="D485" s="45"/>
      <c r="E485" s="45"/>
      <c r="F485" s="4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5"/>
      <c r="B486" s="46"/>
      <c r="C486" s="45"/>
      <c r="D486" s="45"/>
      <c r="E486" s="45"/>
      <c r="F486" s="4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5"/>
      <c r="B487" s="46"/>
      <c r="C487" s="45"/>
      <c r="D487" s="45"/>
      <c r="E487" s="45"/>
      <c r="F487" s="4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5"/>
      <c r="B488" s="46"/>
      <c r="C488" s="45"/>
      <c r="D488" s="45"/>
      <c r="E488" s="45"/>
      <c r="F488" s="4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5"/>
      <c r="B489" s="46"/>
      <c r="C489" s="45"/>
      <c r="D489" s="45"/>
      <c r="E489" s="45"/>
      <c r="F489" s="4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5"/>
      <c r="B490" s="46"/>
      <c r="C490" s="45"/>
      <c r="D490" s="45"/>
      <c r="E490" s="45"/>
      <c r="F490" s="4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5"/>
      <c r="B491" s="46"/>
      <c r="C491" s="45"/>
      <c r="D491" s="45"/>
      <c r="E491" s="45"/>
      <c r="F491" s="4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5"/>
      <c r="B492" s="46"/>
      <c r="C492" s="45"/>
      <c r="D492" s="45"/>
      <c r="E492" s="45"/>
      <c r="F492" s="4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5"/>
      <c r="B493" s="46"/>
      <c r="C493" s="45"/>
      <c r="D493" s="45"/>
      <c r="E493" s="45"/>
      <c r="F493" s="4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5"/>
      <c r="B494" s="46"/>
      <c r="C494" s="45"/>
      <c r="D494" s="45"/>
      <c r="E494" s="45"/>
      <c r="F494" s="4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5"/>
      <c r="B495" s="46"/>
      <c r="C495" s="45"/>
      <c r="D495" s="45"/>
      <c r="E495" s="45"/>
      <c r="F495" s="4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5"/>
      <c r="B496" s="46"/>
      <c r="C496" s="45"/>
      <c r="D496" s="45"/>
      <c r="E496" s="45"/>
      <c r="F496" s="4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5"/>
      <c r="B497" s="46"/>
      <c r="C497" s="45"/>
      <c r="D497" s="45"/>
      <c r="E497" s="45"/>
      <c r="F497" s="4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5"/>
      <c r="B498" s="46"/>
      <c r="C498" s="45"/>
      <c r="D498" s="45"/>
      <c r="E498" s="45"/>
      <c r="F498" s="4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5"/>
      <c r="B499" s="46"/>
      <c r="C499" s="45"/>
      <c r="D499" s="45"/>
      <c r="E499" s="45"/>
      <c r="F499" s="4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5"/>
      <c r="B500" s="46"/>
      <c r="C500" s="45"/>
      <c r="D500" s="45"/>
      <c r="E500" s="45"/>
      <c r="F500" s="4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5"/>
      <c r="B501" s="46"/>
      <c r="C501" s="45"/>
      <c r="D501" s="45"/>
      <c r="E501" s="45"/>
      <c r="F501" s="4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5"/>
      <c r="B502" s="46"/>
      <c r="C502" s="45"/>
      <c r="D502" s="45"/>
      <c r="E502" s="45"/>
      <c r="F502" s="4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5"/>
      <c r="B503" s="46"/>
      <c r="C503" s="45"/>
      <c r="D503" s="45"/>
      <c r="E503" s="45"/>
      <c r="F503" s="4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5"/>
      <c r="B504" s="46"/>
      <c r="C504" s="45"/>
      <c r="D504" s="45"/>
      <c r="E504" s="45"/>
      <c r="F504" s="4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5"/>
      <c r="B505" s="46"/>
      <c r="C505" s="45"/>
      <c r="D505" s="45"/>
      <c r="E505" s="45"/>
      <c r="F505" s="4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5"/>
      <c r="B506" s="46"/>
      <c r="C506" s="45"/>
      <c r="D506" s="45"/>
      <c r="E506" s="45"/>
      <c r="F506" s="4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5"/>
      <c r="B507" s="46"/>
      <c r="C507" s="45"/>
      <c r="D507" s="45"/>
      <c r="E507" s="45"/>
      <c r="F507" s="4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5"/>
      <c r="B508" s="46"/>
      <c r="C508" s="45"/>
      <c r="D508" s="45"/>
      <c r="E508" s="45"/>
      <c r="F508" s="4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5"/>
      <c r="B509" s="46"/>
      <c r="C509" s="45"/>
      <c r="D509" s="45"/>
      <c r="E509" s="45"/>
      <c r="F509" s="4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5"/>
      <c r="B510" s="46"/>
      <c r="C510" s="45"/>
      <c r="D510" s="45"/>
      <c r="E510" s="45"/>
      <c r="F510" s="4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5"/>
      <c r="B511" s="46"/>
      <c r="C511" s="45"/>
      <c r="D511" s="45"/>
      <c r="E511" s="45"/>
      <c r="F511" s="4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5"/>
      <c r="B512" s="46"/>
      <c r="C512" s="45"/>
      <c r="D512" s="45"/>
      <c r="E512" s="45"/>
      <c r="F512" s="4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5"/>
      <c r="B513" s="46"/>
      <c r="C513" s="45"/>
      <c r="D513" s="45"/>
      <c r="E513" s="45"/>
      <c r="F513" s="4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5"/>
      <c r="B514" s="46"/>
      <c r="C514" s="45"/>
      <c r="D514" s="45"/>
      <c r="E514" s="45"/>
      <c r="F514" s="4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5"/>
      <c r="B515" s="46"/>
      <c r="C515" s="45"/>
      <c r="D515" s="45"/>
      <c r="E515" s="45"/>
      <c r="F515" s="4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5"/>
      <c r="B516" s="46"/>
      <c r="C516" s="45"/>
      <c r="D516" s="45"/>
      <c r="E516" s="45"/>
      <c r="F516" s="4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5"/>
      <c r="B517" s="46"/>
      <c r="C517" s="45"/>
      <c r="D517" s="45"/>
      <c r="E517" s="45"/>
      <c r="F517" s="4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5"/>
      <c r="B518" s="46"/>
      <c r="C518" s="45"/>
      <c r="D518" s="45"/>
      <c r="E518" s="45"/>
      <c r="F518" s="4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5"/>
      <c r="B519" s="46"/>
      <c r="C519" s="45"/>
      <c r="D519" s="45"/>
      <c r="E519" s="45"/>
      <c r="F519" s="4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5"/>
      <c r="B520" s="46"/>
      <c r="C520" s="45"/>
      <c r="D520" s="45"/>
      <c r="E520" s="45"/>
      <c r="F520" s="4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5"/>
      <c r="B521" s="46"/>
      <c r="C521" s="45"/>
      <c r="D521" s="45"/>
      <c r="E521" s="45"/>
      <c r="F521" s="4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5"/>
      <c r="B522" s="46"/>
      <c r="C522" s="45"/>
      <c r="D522" s="45"/>
      <c r="E522" s="45"/>
      <c r="F522" s="4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5"/>
      <c r="B523" s="46"/>
      <c r="C523" s="45"/>
      <c r="D523" s="45"/>
      <c r="E523" s="45"/>
      <c r="F523" s="4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5"/>
      <c r="B524" s="46"/>
      <c r="C524" s="45"/>
      <c r="D524" s="45"/>
      <c r="E524" s="45"/>
      <c r="F524" s="4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5"/>
      <c r="B525" s="46"/>
      <c r="C525" s="45"/>
      <c r="D525" s="45"/>
      <c r="E525" s="45"/>
      <c r="F525" s="4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5"/>
      <c r="B526" s="46"/>
      <c r="C526" s="45"/>
      <c r="D526" s="45"/>
      <c r="E526" s="45"/>
      <c r="F526" s="4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5"/>
      <c r="B527" s="46"/>
      <c r="C527" s="45"/>
      <c r="D527" s="45"/>
      <c r="E527" s="45"/>
      <c r="F527" s="4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5"/>
      <c r="B528" s="46"/>
      <c r="C528" s="45"/>
      <c r="D528" s="45"/>
      <c r="E528" s="45"/>
      <c r="F528" s="4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5"/>
      <c r="B529" s="46"/>
      <c r="C529" s="45"/>
      <c r="D529" s="45"/>
      <c r="E529" s="45"/>
      <c r="F529" s="4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5"/>
      <c r="B530" s="46"/>
      <c r="C530" s="45"/>
      <c r="D530" s="45"/>
      <c r="E530" s="45"/>
      <c r="F530" s="4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5"/>
      <c r="B531" s="46"/>
      <c r="C531" s="45"/>
      <c r="D531" s="45"/>
      <c r="E531" s="45"/>
      <c r="F531" s="4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5"/>
      <c r="B532" s="46"/>
      <c r="C532" s="45"/>
      <c r="D532" s="45"/>
      <c r="E532" s="45"/>
      <c r="F532" s="4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5"/>
      <c r="B533" s="46"/>
      <c r="C533" s="45"/>
      <c r="D533" s="45"/>
      <c r="E533" s="45"/>
      <c r="F533" s="4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5"/>
      <c r="B534" s="46"/>
      <c r="C534" s="45"/>
      <c r="D534" s="45"/>
      <c r="E534" s="45"/>
      <c r="F534" s="4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5"/>
      <c r="B535" s="46"/>
      <c r="C535" s="45"/>
      <c r="D535" s="45"/>
      <c r="E535" s="45"/>
      <c r="F535" s="4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5"/>
      <c r="B536" s="46"/>
      <c r="C536" s="45"/>
      <c r="D536" s="45"/>
      <c r="E536" s="45"/>
      <c r="F536" s="4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F1"/>
    <mergeCell ref="L5:M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0.0"/>
    <col customWidth="1" min="3" max="6" width="8.71"/>
  </cols>
  <sheetData>
    <row r="1" ht="15.0" customHeight="1">
      <c r="A1" s="47" t="s">
        <v>973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48" t="s">
        <v>974</v>
      </c>
      <c r="B2" s="49" t="s">
        <v>975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9" t="s">
        <v>40</v>
      </c>
      <c r="B3" s="49" t="s">
        <v>976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9" t="s">
        <v>18</v>
      </c>
      <c r="B4" s="49" t="s">
        <v>977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9" t="s">
        <v>41</v>
      </c>
      <c r="B5" s="49" t="s">
        <v>978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9" t="s">
        <v>19</v>
      </c>
      <c r="B6" s="49" t="s">
        <v>979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9"/>
      <c r="B7" s="4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8" t="s">
        <v>980</v>
      </c>
      <c r="B8" s="49" t="s">
        <v>981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50" t="s">
        <v>982</v>
      </c>
      <c r="B9" s="50" t="s">
        <v>983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51" t="s">
        <v>984</v>
      </c>
      <c r="B10" s="51" t="s">
        <v>985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52" t="s">
        <v>986</v>
      </c>
      <c r="B11" s="52" t="s">
        <v>987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paperSize="9" orientation="portrait"/>
  <drawing r:id="rId1"/>
</worksheet>
</file>